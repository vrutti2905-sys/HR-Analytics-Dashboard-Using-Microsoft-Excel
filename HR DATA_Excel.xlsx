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vrutt\Downloads\"/>
    </mc:Choice>
  </mc:AlternateContent>
  <xr:revisionPtr revIDLastSave="0" documentId="8_{27E0BA2A-BB57-482C-8FE7-BD23802F9528}" xr6:coauthVersionLast="47" xr6:coauthVersionMax="47" xr10:uidLastSave="{00000000-0000-0000-0000-000000000000}"/>
  <bookViews>
    <workbookView xWindow="-108" yWindow="-108" windowWidth="23256" windowHeight="12456" firstSheet="7" activeTab="11" xr2:uid="{00000000-000D-0000-FFFF-FFFF00000000}"/>
  </bookViews>
  <sheets>
    <sheet name="kpi" sheetId="7" r:id="rId1"/>
    <sheet name="RATING" sheetId="8" r:id="rId2"/>
    <sheet name="GENDER" sheetId="9" r:id="rId3"/>
    <sheet name="EDUCATION BY ATTRITION" sheetId="10" r:id="rId4"/>
    <sheet name="ATTRITION BY JOB " sheetId="11" r:id="rId5"/>
    <sheet name="DEPARTMENT WISE ATTRITION" sheetId="12" r:id="rId6"/>
    <sheet name="ATTRITION BY AGE GROUP" sheetId="13" r:id="rId7"/>
    <sheet name="MARITAL STATUS" sheetId="14" r:id="rId8"/>
    <sheet name="Data" sheetId="1" r:id="rId9"/>
    <sheet name="Images" sheetId="2" r:id="rId10"/>
    <sheet name="Background 1" sheetId="3" r:id="rId11"/>
    <sheet name="Background 2" sheetId="4" r:id="rId12"/>
    <sheet name="Background 3" sheetId="5" r:id="rId13"/>
    <sheet name="Background 4" sheetId="6" r:id="rId14"/>
  </sheets>
  <definedNames>
    <definedName name="_xlchart.v1.0" hidden="1">'ATTRITION BY JOB '!$E$4:$E$12</definedName>
    <definedName name="_xlchart.v1.1" hidden="1">'ATTRITION BY JOB '!$F$3</definedName>
    <definedName name="_xlchart.v1.2" hidden="1">'ATTRITION BY JOB '!$F$4:$F$12</definedName>
    <definedName name="_xlchart.v1.6" hidden="1">'ATTRITION BY JOB '!$E$4:$E$12</definedName>
    <definedName name="_xlchart.v1.7" hidden="1">'ATTRITION BY JOB '!$F$3</definedName>
    <definedName name="_xlchart.v1.8" hidden="1">'ATTRITION BY JOB '!$F$4:$F$12</definedName>
    <definedName name="_xlchart.v2.10" hidden="1">'MARITAL STATUS'!$E$3</definedName>
    <definedName name="_xlchart.v2.11" hidden="1">'MARITAL STATUS'!$E$4:$E$6</definedName>
    <definedName name="_xlchart.v2.3" hidden="1">'MARITAL STATUS'!$D$4:$D$6</definedName>
    <definedName name="_xlchart.v2.4" hidden="1">'MARITAL STATUS'!$E$3</definedName>
    <definedName name="_xlchart.v2.5" hidden="1">'MARITAL STATUS'!$E$4:$E$6</definedName>
    <definedName name="_xlchart.v2.9" hidden="1">'MARITAL STATUS'!$D$4:$D$6</definedName>
    <definedName name="Slicer_Department">#N/A</definedName>
    <definedName name="Slicer_Education_Field2">#N/A</definedName>
    <definedName name="Slicer_Gender2">#N/A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9" roundtripDataChecksum="0W7NtiAel2xy0cZdwUBcRsMoEuXg6pzXui43o1bypBA="/>
    </ext>
  </extLst>
</workbook>
</file>

<file path=xl/calcChain.xml><?xml version="1.0" encoding="utf-8"?>
<calcChain xmlns="http://schemas.openxmlformats.org/spreadsheetml/2006/main">
  <c r="D4" i="14" l="1"/>
  <c r="D5" i="14"/>
  <c r="D6" i="14"/>
  <c r="E5" i="11"/>
  <c r="E6" i="11"/>
  <c r="E7" i="11"/>
  <c r="E8" i="11"/>
  <c r="E9" i="11"/>
  <c r="E10" i="11"/>
  <c r="E11" i="11"/>
  <c r="E12" i="11"/>
  <c r="E4" i="11"/>
  <c r="A7" i="7"/>
  <c r="B10" i="9"/>
  <c r="C7" i="7"/>
  <c r="B7" i="8"/>
  <c r="B7" i="7"/>
  <c r="B9" i="9"/>
  <c r="E5" i="14"/>
  <c r="E4" i="14"/>
  <c r="E6" i="14"/>
  <c r="F9" i="11"/>
  <c r="F10" i="11"/>
  <c r="F11" i="11"/>
  <c r="F12" i="11"/>
  <c r="F5" i="11"/>
  <c r="F6" i="11"/>
  <c r="F7" i="11"/>
  <c r="F8" i="11"/>
  <c r="F4" i="11"/>
  <c r="F7" i="7" l="1"/>
  <c r="D7" i="7"/>
  <c r="C10" i="9"/>
  <c r="C9" i="9"/>
  <c r="B8" i="8"/>
  <c r="C8" i="8" s="1"/>
  <c r="C7" i="8"/>
</calcChain>
</file>

<file path=xl/sharedStrings.xml><?xml version="1.0" encoding="utf-8"?>
<sst xmlns="http://schemas.openxmlformats.org/spreadsheetml/2006/main" count="19216" uniqueCount="1575">
  <si>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</si>
  <si>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</si>
  <si>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</si>
  <si>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</si>
  <si>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</si>
  <si>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</si>
  <si>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</si>
  <si>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</si>
  <si>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</si>
  <si>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</si>
  <si>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</si>
  <si>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</si>
  <si>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</si>
  <si>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</si>
  <si>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</si>
  <si>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</si>
  <si>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</si>
  <si>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</si>
  <si>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</si>
  <si>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</si>
  <si>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</si>
  <si>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</si>
  <si>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</si>
  <si>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</si>
  <si>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</si>
  <si>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</si>
  <si>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</si>
  <si>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</si>
  <si>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</si>
  <si>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</si>
  <si>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</si>
  <si>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</si>
  <si>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</si>
  <si>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</si>
  <si>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</si>
  <si>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</si>
  <si>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</si>
  <si>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</si>
  <si>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</si>
  <si>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</si>
  <si>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</si>
  <si>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</si>
  <si>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</si>
  <si>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</si>
  <si>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</si>
  <si>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</si>
  <si>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</si>
  <si>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</si>
  <si>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</si>
  <si>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</si>
  <si>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</si>
  <si>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</si>
  <si>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</si>
  <si>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</si>
  <si>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</si>
  <si>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</si>
  <si>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</si>
  <si>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</si>
  <si>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</si>
  <si>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</si>
  <si>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</si>
  <si>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</si>
  <si>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</si>
  <si>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</si>
  <si>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</si>
  <si>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</si>
  <si>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</si>
  <si>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</si>
  <si>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</si>
  <si>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</si>
  <si>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</si>
  <si>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</si>
  <si>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</si>
  <si>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</si>
  <si>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</si>
  <si>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</si>
  <si>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</si>
  <si>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</si>
  <si>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</si>
  <si>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</si>
  <si>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</si>
  <si>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</si>
  <si>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</si>
  <si>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</si>
  <si>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</si>
  <si>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</si>
  <si>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</si>
  <si>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</si>
  <si>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</si>
  <si>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</si>
  <si>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</si>
  <si>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</si>
  <si>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</si>
  <si>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</si>
  <si>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</si>
  <si>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</si>
  <si>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</si>
  <si>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</si>
  <si>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</si>
  <si>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</si>
  <si>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</si>
  <si>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</si>
  <si>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</si>
  <si>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</si>
  <si>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</si>
  <si>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</si>
  <si>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</si>
  <si>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</si>
  <si>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</si>
  <si>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</si>
  <si>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</si>
  <si>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</si>
  <si>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</si>
  <si>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</si>
  <si>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</si>
  <si>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</si>
  <si>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</si>
  <si>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</si>
  <si>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</si>
  <si>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</si>
  <si>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</si>
  <si>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</si>
  <si>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</si>
  <si>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</si>
  <si>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</si>
  <si>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</si>
  <si>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</si>
  <si>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</si>
  <si>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</si>
  <si>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</si>
  <si>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</si>
  <si>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</si>
  <si>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</si>
  <si>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</si>
  <si>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</si>
  <si>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</si>
  <si>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</si>
  <si>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</si>
  <si>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</si>
  <si>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</si>
  <si>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</si>
  <si>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</si>
  <si>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</si>
  <si>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</si>
  <si>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</si>
  <si>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</si>
  <si>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</si>
  <si>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</si>
  <si>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</si>
  <si>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</si>
  <si>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</si>
  <si>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</si>
  <si>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</si>
  <si>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</si>
  <si>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</si>
  <si>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</si>
  <si>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</si>
  <si>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</si>
  <si>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</si>
  <si>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</si>
  <si>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</si>
  <si>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</si>
  <si>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</si>
  <si>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</si>
  <si>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</si>
  <si>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</si>
  <si>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</si>
  <si>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</si>
  <si>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</si>
  <si>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</si>
  <si>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</si>
  <si>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</si>
  <si>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</si>
  <si>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</si>
  <si>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</si>
  <si>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</si>
  <si>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</si>
  <si>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</si>
  <si>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</si>
  <si>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</si>
  <si>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</si>
  <si>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</si>
  <si>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</si>
  <si>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</si>
  <si>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</si>
  <si>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</si>
  <si>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</si>
  <si>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</si>
  <si>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</si>
  <si>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</si>
  <si>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</si>
  <si>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</si>
  <si>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</si>
  <si>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</si>
  <si>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</si>
  <si>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</si>
  <si>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</si>
  <si>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</si>
  <si>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</si>
  <si>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</si>
  <si>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</si>
  <si>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</si>
  <si>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</si>
  <si>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</si>
  <si>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</si>
  <si>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</si>
  <si>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</si>
  <si>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</si>
  <si>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</si>
  <si>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</si>
  <si>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</si>
  <si>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</si>
  <si>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</si>
  <si>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</si>
  <si>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</si>
  <si>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</si>
  <si>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</si>
  <si>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</si>
  <si>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</si>
  <si>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</si>
  <si>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</si>
  <si>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</si>
  <si>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</si>
  <si>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</si>
  <si>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</si>
  <si>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</si>
  <si>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</si>
  <si>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</si>
  <si>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</si>
  <si>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</si>
  <si>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</si>
  <si>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</si>
  <si>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</si>
  <si>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</si>
  <si>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</si>
  <si>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</si>
  <si>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</si>
  <si>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</si>
  <si>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</si>
  <si>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</si>
  <si>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</si>
  <si>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</si>
  <si>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</si>
  <si>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</si>
  <si>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</si>
  <si>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</si>
  <si>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</si>
  <si>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</si>
  <si>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</si>
  <si>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</si>
  <si>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</si>
  <si>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</si>
  <si>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</si>
  <si>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</si>
  <si>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</si>
  <si>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</si>
  <si>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</si>
  <si>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</si>
  <si>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</si>
  <si>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</si>
  <si>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</si>
  <si>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</si>
  <si>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</si>
  <si>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</si>
  <si>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</si>
  <si>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</si>
  <si>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</si>
  <si>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</si>
  <si>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</si>
  <si>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</si>
  <si>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</si>
  <si>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</si>
  <si>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</si>
  <si>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</si>
  <si>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</si>
  <si>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</si>
  <si>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</si>
  <si>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</si>
  <si>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</si>
  <si>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</si>
  <si>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</si>
  <si>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</si>
  <si>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</si>
  <si>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</si>
  <si>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</si>
  <si>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</si>
  <si>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</si>
  <si>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</si>
  <si>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</si>
  <si>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</si>
  <si>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</si>
  <si>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</si>
  <si>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</si>
  <si>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</si>
  <si>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</si>
  <si>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</si>
  <si>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</si>
  <si>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</si>
  <si>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</si>
  <si>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</si>
  <si>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</si>
  <si>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</si>
  <si>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</si>
  <si>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</si>
  <si>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</si>
  <si>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</si>
  <si>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</si>
  <si>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</si>
  <si>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</si>
  <si>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</si>
  <si>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</si>
  <si>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</si>
  <si>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</si>
  <si>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</si>
  <si>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</si>
  <si>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</si>
  <si>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</si>
  <si>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</si>
  <si>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</si>
  <si>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</si>
  <si>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</si>
  <si>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</si>
  <si>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</si>
  <si>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</si>
  <si>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</si>
  <si>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</si>
  <si>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</si>
  <si>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</si>
  <si>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</si>
  <si>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</si>
  <si>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</si>
  <si>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</si>
  <si>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</si>
  <si>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</si>
  <si>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</si>
  <si>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</si>
  <si>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</si>
  <si>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</si>
  <si>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</si>
  <si>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</si>
  <si>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</si>
  <si>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</si>
  <si>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</si>
  <si>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</si>
  <si>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</si>
  <si>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</si>
  <si>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</si>
  <si>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</si>
  <si>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</si>
  <si>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</si>
  <si>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</si>
  <si>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</si>
  <si>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</si>
  <si>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</si>
  <si>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</si>
  <si>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</si>
  <si>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</si>
  <si>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</si>
  <si>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</si>
  <si>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</si>
  <si>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</si>
  <si>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</si>
  <si>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</si>
  <si>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</si>
  <si>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</si>
  <si>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</si>
  <si>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</si>
  <si>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</si>
  <si>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</si>
  <si>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</si>
  <si>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</si>
  <si>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</si>
  <si>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</si>
  <si>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</si>
  <si>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</si>
  <si>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</si>
  <si>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</si>
  <si>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</si>
  <si>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</si>
  <si>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</si>
  <si>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</si>
  <si>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</si>
  <si>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</si>
  <si>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</si>
  <si>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</si>
  <si>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</si>
  <si>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</si>
  <si>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</si>
  <si>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</si>
  <si>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</si>
  <si>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</si>
  <si>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</si>
  <si>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</si>
  <si>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</si>
  <si>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</si>
  <si>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</si>
  <si>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</si>
  <si>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</si>
  <si>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</si>
  <si>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</si>
  <si>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</si>
  <si>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</si>
  <si>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</si>
  <si>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</si>
  <si>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</si>
  <si>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</si>
  <si>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</si>
  <si>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</si>
  <si>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</si>
  <si>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</si>
  <si>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</si>
  <si>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</si>
  <si>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</si>
  <si>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</si>
  <si>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</si>
  <si>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</si>
  <si>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</si>
  <si>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</si>
  <si>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</si>
  <si>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</si>
  <si>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</si>
  <si>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</si>
  <si>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</si>
  <si>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</si>
  <si>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</si>
  <si>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</si>
  <si>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</si>
  <si>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</si>
  <si>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</si>
  <si>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</si>
  <si>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</si>
  <si>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</si>
  <si>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</si>
  <si>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</si>
  <si>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</si>
  <si>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</si>
  <si>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</si>
  <si>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</si>
  <si>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</si>
  <si>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</si>
  <si>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</si>
  <si>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</si>
  <si>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</si>
  <si>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</si>
  <si>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</si>
  <si>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</si>
  <si>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</si>
  <si>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</si>
  <si>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</si>
  <si>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</si>
  <si>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</si>
  <si>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</si>
  <si>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</si>
  <si>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</si>
  <si>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</si>
  <si>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</si>
  <si>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</si>
  <si>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</si>
  <si>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</si>
  <si>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</si>
  <si>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</si>
  <si>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</si>
  <si>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</si>
  <si>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</si>
  <si>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</si>
  <si>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</si>
  <si>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</si>
  <si>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</si>
  <si>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</si>
  <si>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</si>
  <si>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</si>
  <si>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</si>
  <si>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</si>
  <si>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</si>
  <si>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</si>
  <si>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</si>
  <si>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</si>
  <si>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</si>
  <si>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</si>
  <si>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</si>
  <si>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</si>
  <si>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</si>
  <si>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</si>
  <si>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</si>
  <si>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</si>
  <si>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</si>
  <si>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</si>
  <si>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</si>
  <si>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</si>
  <si>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</si>
  <si>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</si>
  <si>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</si>
  <si>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</si>
  <si>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</si>
  <si>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</si>
  <si>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</si>
  <si>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</si>
  <si>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</si>
  <si>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</si>
  <si>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</si>
  <si>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</si>
  <si>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</si>
  <si>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</si>
  <si>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</si>
  <si>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</si>
  <si>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</si>
  <si>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</si>
  <si>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</si>
  <si>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</si>
  <si>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</si>
  <si>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</si>
  <si>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</si>
  <si>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</si>
  <si>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</si>
  <si>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</si>
  <si>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</si>
  <si>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</si>
  <si>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</si>
  <si>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</si>
  <si>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</si>
  <si>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</si>
  <si>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</si>
  <si>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</si>
  <si>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</si>
  <si>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</si>
  <si>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</si>
  <si>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</si>
  <si>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</si>
  <si>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</si>
  <si>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</si>
  <si>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</si>
  <si>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</si>
  <si>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</si>
  <si>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</si>
  <si>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</si>
  <si>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</si>
  <si>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</si>
  <si>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</si>
  <si>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</si>
  <si>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</si>
  <si>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</si>
  <si>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</si>
  <si>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</si>
  <si>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</si>
  <si>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</si>
  <si>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</si>
  <si>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</si>
  <si>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</si>
  <si>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</si>
  <si>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</si>
  <si>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</si>
  <si>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</si>
  <si>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</si>
  <si>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</si>
  <si>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</si>
  <si>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</si>
  <si>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</si>
  <si>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</si>
  <si>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</si>
  <si>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</si>
  <si>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</si>
  <si>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</si>
  <si>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</si>
  <si>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</si>
  <si>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</si>
  <si>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</si>
  <si>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</si>
  <si>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</si>
  <si>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</si>
  <si>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</si>
  <si>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</si>
  <si>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</si>
  <si>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</si>
  <si>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</si>
  <si>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</si>
  <si>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</si>
  <si>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</si>
  <si>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</si>
  <si>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</si>
  <si>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</si>
  <si>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</si>
  <si>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</si>
  <si>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</si>
  <si>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</si>
  <si>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</si>
  <si>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</si>
  <si>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</si>
  <si>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</si>
  <si>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</si>
  <si>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</si>
  <si>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</si>
  <si>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</si>
  <si>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</si>
  <si>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</si>
  <si>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</si>
  <si>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</si>
  <si>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</si>
  <si>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</si>
  <si>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</si>
  <si>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</si>
  <si>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</si>
  <si>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</si>
  <si>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</si>
  <si>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</si>
  <si>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</si>
  <si>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</si>
  <si>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</si>
  <si>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</si>
  <si>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</si>
  <si>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</si>
  <si>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</si>
  <si>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</si>
  <si>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</si>
  <si>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</si>
  <si>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</si>
  <si>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</si>
  <si>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</si>
  <si>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</si>
  <si>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</si>
  <si>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</si>
  <si>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</si>
  <si>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</si>
  <si>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</si>
  <si>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</si>
  <si>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</si>
  <si>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</si>
  <si>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</si>
  <si>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</si>
  <si>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</si>
  <si>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</si>
  <si>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</si>
  <si>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</si>
  <si>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</si>
  <si>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</si>
  <si>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</si>
  <si>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</si>
  <si>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</si>
  <si>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</si>
  <si>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</si>
  <si>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</si>
  <si>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</si>
  <si>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</si>
  <si>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</si>
  <si>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</si>
  <si>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</si>
  <si>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</si>
  <si>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</si>
  <si>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</si>
  <si>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</si>
  <si>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</si>
  <si>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</si>
  <si>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</si>
  <si>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</si>
  <si>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</si>
  <si>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</si>
  <si>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</si>
  <si>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</si>
  <si>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</si>
  <si>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</si>
  <si>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</si>
  <si>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</si>
  <si>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</si>
  <si>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</si>
  <si>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</si>
  <si>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</si>
  <si>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</si>
  <si>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</si>
  <si>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</si>
  <si>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</si>
  <si>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</si>
  <si>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</si>
  <si>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</si>
  <si>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</si>
  <si>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</si>
  <si>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</si>
  <si>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</si>
  <si>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</si>
  <si>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</si>
  <si>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</si>
  <si>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</si>
  <si>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</si>
  <si>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</si>
  <si>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</si>
  <si>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</si>
  <si>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</si>
  <si>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</si>
  <si>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</si>
  <si>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</si>
  <si>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</si>
  <si>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</si>
  <si>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</si>
  <si>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</si>
  <si>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</si>
  <si>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</si>
  <si>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</si>
  <si>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</si>
  <si>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</si>
  <si>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</si>
  <si>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</si>
  <si>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</si>
  <si>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</si>
  <si>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</si>
  <si>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</si>
  <si>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</si>
  <si>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</si>
  <si>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</si>
  <si>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</si>
  <si>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</si>
  <si>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</si>
  <si>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</si>
  <si>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</si>
  <si>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</si>
  <si>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</si>
  <si>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</si>
  <si>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</si>
  <si>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</si>
  <si>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</si>
  <si>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</si>
  <si>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</si>
  <si>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</si>
  <si>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</si>
  <si>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</si>
  <si>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</si>
  <si>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</si>
  <si>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</si>
  <si>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</si>
  <si>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</si>
  <si>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</si>
  <si>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</si>
  <si>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</si>
  <si>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</si>
  <si>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</si>
  <si>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</si>
  <si>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</si>
  <si>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</si>
  <si>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</si>
  <si>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</si>
  <si>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</si>
  <si>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</si>
  <si>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</si>
  <si>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</si>
  <si>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</si>
  <si>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</si>
  <si>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</si>
  <si>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</si>
  <si>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</si>
  <si>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</si>
  <si>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</si>
  <si>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</si>
  <si>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</si>
  <si>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</si>
  <si>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</si>
  <si>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</si>
  <si>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</si>
  <si>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</si>
  <si>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</si>
  <si>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</si>
  <si>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</si>
  <si>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</si>
  <si>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</si>
  <si>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</si>
  <si>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</si>
  <si>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</si>
  <si>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</si>
  <si>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</si>
  <si>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</si>
  <si>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</si>
  <si>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</si>
  <si>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</si>
  <si>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</si>
  <si>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</si>
  <si>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</si>
  <si>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</si>
  <si>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</si>
  <si>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</si>
  <si>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</si>
  <si>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</si>
  <si>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</si>
  <si>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</si>
  <si>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</si>
  <si>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</si>
  <si>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</si>
  <si>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</si>
  <si>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</si>
  <si>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</si>
  <si>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</si>
  <si>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</si>
  <si>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</si>
  <si>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</si>
  <si>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</si>
  <si>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</si>
  <si>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</si>
  <si>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</si>
  <si>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</si>
  <si>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</si>
  <si>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</si>
  <si>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</si>
  <si>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</si>
  <si>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</si>
  <si>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</si>
  <si>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</si>
  <si>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</si>
  <si>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</si>
  <si>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</si>
  <si>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</si>
  <si>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</si>
  <si>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</si>
  <si>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</si>
  <si>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</si>
  <si>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</si>
  <si>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</si>
  <si>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</si>
  <si>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</si>
  <si>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</si>
  <si>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</si>
  <si>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</si>
  <si>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</si>
  <si>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</si>
  <si>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</si>
  <si>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</si>
  <si>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</si>
  <si>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</si>
  <si>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</si>
  <si>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</si>
  <si>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</si>
  <si>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</si>
  <si>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</si>
  <si>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</si>
  <si>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</si>
  <si>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</si>
  <si>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</si>
  <si>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</si>
  <si>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</si>
  <si>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</si>
  <si>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</si>
  <si>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</si>
  <si>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</si>
  <si>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</si>
  <si>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</si>
  <si>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</si>
  <si>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</si>
  <si>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</si>
  <si>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</si>
  <si>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</si>
  <si>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</si>
  <si>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</si>
  <si>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</si>
  <si>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</si>
  <si>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</si>
  <si>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</si>
  <si>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</si>
  <si>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</si>
  <si>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</si>
  <si>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</si>
  <si>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</si>
  <si>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</si>
  <si>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</si>
  <si>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</si>
  <si>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</si>
  <si>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</si>
  <si>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</si>
  <si>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</si>
  <si>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</si>
  <si>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</si>
  <si>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</si>
  <si>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</si>
  <si>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</si>
  <si>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</si>
  <si>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</si>
  <si>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</si>
  <si>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</si>
  <si>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</si>
  <si>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</si>
  <si>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</si>
  <si>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</si>
  <si>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</si>
  <si>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</si>
  <si>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</si>
  <si>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</si>
  <si>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</si>
  <si>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</si>
  <si>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</si>
  <si>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</si>
  <si>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</si>
  <si>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</si>
  <si>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</si>
  <si>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</si>
  <si>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</si>
  <si>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</si>
  <si>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</si>
  <si>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</si>
  <si>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</si>
  <si>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</si>
  <si>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</si>
  <si>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</si>
  <si>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</si>
  <si>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</si>
  <si>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</si>
  <si>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</si>
  <si>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</si>
  <si>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</si>
  <si>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</si>
  <si>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</si>
  <si>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</si>
  <si>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</si>
  <si>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</si>
  <si>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</si>
  <si>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</si>
  <si>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</si>
  <si>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</si>
  <si>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</si>
  <si>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</si>
  <si>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</si>
  <si>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</si>
  <si>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</si>
  <si>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</si>
  <si>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</si>
  <si>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</si>
  <si>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</si>
  <si>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</si>
  <si>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</si>
  <si>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</si>
  <si>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</si>
  <si>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</si>
  <si>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</si>
  <si>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</si>
  <si>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</si>
  <si>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</si>
  <si>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</si>
  <si>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</si>
  <si>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</si>
  <si>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</si>
  <si>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</si>
  <si>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</si>
  <si>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</si>
  <si>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</si>
  <si>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</si>
  <si>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</si>
  <si>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</si>
  <si>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</si>
  <si>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</si>
  <si>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</si>
  <si>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</si>
  <si>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</si>
  <si>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</si>
  <si>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</si>
  <si>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</si>
  <si>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</si>
  <si>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</si>
  <si>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</si>
  <si>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</si>
  <si>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</si>
  <si>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</si>
  <si>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</si>
  <si>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</si>
  <si>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</si>
  <si>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</si>
  <si>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</si>
  <si>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</si>
  <si>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</si>
  <si>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</si>
  <si>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</si>
  <si>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</si>
  <si>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</si>
  <si>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</si>
  <si>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</si>
  <si>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</si>
  <si>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</si>
  <si>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</si>
  <si>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</si>
  <si>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</si>
  <si>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</si>
  <si>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</si>
  <si>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</si>
  <si>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</si>
  <si>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</si>
  <si>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</si>
  <si>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</si>
  <si>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</si>
  <si>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</si>
  <si>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</si>
  <si>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</si>
  <si>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</si>
  <si>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</si>
  <si>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</si>
  <si>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</si>
  <si>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</si>
  <si>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</si>
  <si>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</si>
  <si>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</si>
  <si>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</si>
  <si>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</si>
  <si>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</si>
  <si>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</si>
  <si>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</si>
  <si>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</si>
  <si>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</si>
  <si>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</si>
  <si>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</si>
  <si>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</si>
  <si>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</si>
  <si>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</si>
  <si>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</si>
  <si>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</si>
  <si>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</si>
  <si>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</si>
  <si>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</si>
  <si>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</si>
  <si>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</si>
  <si>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</si>
  <si>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</si>
  <si>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</si>
  <si>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</si>
  <si>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</si>
  <si>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</si>
  <si>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</si>
  <si>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</si>
  <si>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</si>
  <si>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</si>
  <si>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</si>
  <si>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</si>
  <si>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</si>
  <si>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</si>
  <si>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</si>
  <si>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</si>
  <si>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</si>
  <si>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</si>
  <si>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</si>
  <si>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</si>
  <si>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</si>
  <si>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</si>
  <si>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</si>
  <si>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</si>
  <si>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</si>
  <si>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</si>
  <si>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</si>
  <si>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</si>
  <si>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</si>
  <si>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</si>
  <si>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</si>
  <si>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</si>
  <si>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</si>
  <si>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</si>
  <si>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</si>
  <si>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</si>
  <si>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</si>
  <si>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</si>
  <si>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</si>
  <si>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</si>
  <si>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</si>
  <si>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</si>
  <si>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</si>
  <si>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</si>
  <si>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</si>
  <si>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</si>
  <si>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</si>
  <si>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</si>
  <si>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</si>
  <si>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</si>
  <si>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</si>
  <si>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</si>
  <si>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</si>
  <si>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</si>
  <si>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</si>
  <si>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</si>
  <si>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</si>
  <si>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</si>
  <si>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</si>
  <si>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</si>
  <si>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</si>
  <si>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</si>
  <si>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</si>
  <si>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</si>
  <si>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</si>
  <si>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</si>
  <si>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</si>
  <si>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</si>
  <si>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</si>
  <si>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</si>
  <si>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</si>
  <si>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</si>
  <si>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</si>
  <si>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</si>
  <si>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</si>
  <si>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</si>
  <si>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</si>
  <si>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</si>
  <si>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</si>
  <si>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</si>
  <si>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</si>
  <si>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</si>
  <si>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</si>
  <si>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</si>
  <si>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</si>
  <si>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</si>
  <si>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</si>
  <si>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</si>
  <si>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</si>
  <si>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</si>
  <si>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</si>
  <si>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</si>
  <si>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</si>
  <si>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</si>
  <si>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</si>
  <si>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</si>
  <si>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</si>
  <si>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</si>
  <si>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</si>
  <si>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</si>
  <si>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</si>
  <si>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</si>
  <si>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</si>
  <si>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</si>
  <si>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</si>
  <si>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</si>
  <si>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</si>
  <si>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</si>
  <si>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</si>
  <si>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</si>
  <si>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</si>
  <si>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</si>
  <si>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</si>
  <si>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</si>
  <si>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</si>
  <si>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</si>
  <si>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</si>
  <si>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</si>
  <si>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</si>
  <si>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</si>
  <si>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</si>
  <si>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</si>
  <si>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</si>
  <si>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</si>
  <si>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</si>
  <si>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</si>
  <si>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</si>
  <si>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</si>
  <si>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</si>
  <si>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</si>
  <si>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</si>
  <si>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</si>
  <si>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</si>
  <si>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</si>
  <si>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</si>
  <si>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</si>
  <si>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</si>
  <si>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</si>
  <si>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</si>
  <si>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</si>
  <si>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</si>
  <si>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</si>
  <si>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</si>
  <si>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</si>
  <si>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</si>
  <si>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</si>
  <si>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</si>
  <si>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</si>
  <si>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</si>
  <si>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</si>
  <si>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</si>
  <si>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</si>
  <si>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</si>
  <si>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</si>
  <si>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</si>
  <si>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</si>
  <si>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</si>
  <si>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</si>
  <si>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</si>
  <si>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</si>
  <si>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</si>
  <si>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</si>
  <si>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</si>
  <si>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</si>
  <si>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</si>
  <si>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</si>
  <si>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</si>
  <si>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</si>
  <si>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</si>
  <si>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</si>
  <si>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</si>
  <si>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</si>
  <si>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</si>
  <si>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</si>
  <si>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</si>
  <si>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</si>
  <si>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</si>
  <si>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</si>
  <si>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</si>
  <si>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</si>
  <si>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</si>
  <si>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</si>
  <si>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</si>
  <si>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</si>
  <si>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</si>
  <si>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</si>
  <si>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</si>
  <si>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</si>
  <si>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</si>
  <si>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</si>
  <si>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</si>
  <si>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</si>
  <si>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</si>
  <si>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</si>
  <si>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</si>
  <si>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</si>
  <si>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</si>
  <si>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</si>
  <si>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</si>
  <si>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</si>
  <si>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</si>
  <si>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</si>
  <si>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</si>
  <si>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</si>
  <si>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</si>
  <si>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</si>
  <si>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</si>
  <si>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</si>
  <si>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</si>
  <si>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</si>
  <si>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</si>
  <si>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</si>
  <si>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</si>
  <si>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</si>
  <si>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</si>
  <si>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</si>
  <si>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</si>
  <si>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</si>
  <si>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</si>
  <si>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</si>
  <si>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</si>
  <si>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</si>
  <si>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</si>
  <si>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</si>
  <si>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</si>
  <si>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</si>
  <si>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</si>
  <si>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</si>
  <si>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</si>
  <si>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</si>
  <si>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</si>
  <si>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</si>
  <si>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</si>
  <si>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</si>
  <si>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</si>
  <si>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</si>
  <si>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</si>
  <si>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</si>
  <si>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</si>
  <si>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</si>
  <si>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</si>
  <si>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</si>
  <si>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</si>
  <si>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</si>
  <si>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</si>
  <si>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</si>
  <si>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</si>
  <si>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</si>
  <si>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</si>
  <si>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</si>
  <si>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</si>
  <si>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</si>
  <si>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</si>
  <si>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</si>
  <si>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</si>
  <si>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</si>
  <si>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</si>
  <si>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</si>
  <si>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</si>
  <si>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</si>
  <si>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</si>
  <si>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</si>
  <si>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</si>
  <si>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</si>
  <si>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</si>
  <si>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</si>
  <si>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</si>
  <si>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</si>
  <si>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</si>
  <si>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</si>
  <si>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</si>
  <si>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</si>
  <si>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</si>
  <si>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</si>
  <si>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</si>
  <si>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</si>
  <si>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</si>
  <si>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</si>
  <si>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</si>
  <si>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</si>
  <si>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</si>
  <si>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</si>
  <si>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</si>
  <si>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</si>
  <si>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</si>
  <si>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</si>
  <si>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</si>
  <si>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</si>
  <si>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</si>
  <si>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</si>
  <si>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</si>
  <si>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</si>
  <si>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</si>
  <si>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</si>
  <si>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</si>
  <si>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</si>
  <si>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</si>
  <si>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</si>
  <si>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</si>
  <si>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</si>
  <si>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</si>
  <si>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</si>
  <si>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</si>
  <si>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</si>
  <si>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</si>
  <si>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</si>
  <si>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</si>
  <si>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</si>
  <si>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</si>
  <si>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</si>
  <si>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</si>
  <si>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</si>
  <si>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</si>
  <si>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</si>
  <si>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</si>
  <si>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</si>
  <si>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</si>
  <si>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</si>
  <si>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</si>
  <si>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</si>
  <si>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</si>
  <si>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</si>
  <si>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</si>
  <si>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</si>
  <si>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</si>
  <si>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</si>
  <si>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</si>
  <si>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</si>
  <si>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</si>
  <si>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</si>
  <si>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</si>
  <si>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</si>
  <si>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</si>
  <si>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</si>
  <si>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</si>
  <si>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</si>
  <si>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</si>
  <si>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</si>
  <si>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</si>
  <si>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</si>
  <si>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</si>
  <si>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</si>
  <si>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</si>
  <si>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</si>
  <si>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</si>
  <si>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</si>
  <si>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</si>
  <si>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</si>
  <si>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</si>
  <si>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</si>
  <si>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</si>
  <si>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</si>
  <si>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</si>
  <si>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</si>
  <si>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</si>
  <si>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</si>
  <si>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</si>
  <si>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</si>
  <si>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</si>
  <si>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</si>
  <si>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</si>
  <si>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</si>
  <si>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</si>
  <si>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</si>
  <si>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</si>
  <si>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</si>
  <si>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</si>
  <si>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</si>
  <si>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</si>
  <si>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</si>
  <si>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</si>
  <si>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</si>
  <si>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</si>
  <si>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</si>
  <si>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</si>
  <si>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</si>
  <si>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</si>
  <si>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</si>
  <si>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</si>
  <si>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</si>
  <si>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</si>
  <si>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</si>
  <si>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</si>
  <si>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</si>
  <si>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</si>
  <si>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</si>
  <si>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</si>
  <si>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</si>
  <si>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</si>
  <si>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</si>
  <si>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</si>
  <si>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</si>
  <si>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</si>
  <si>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</si>
  <si>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</si>
  <si>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</si>
  <si>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</si>
  <si>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</si>
  <si>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</si>
  <si>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</si>
  <si>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</si>
  <si>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</si>
  <si>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</si>
  <si>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</si>
  <si>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</si>
  <si>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</si>
  <si>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</si>
  <si>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</si>
  <si>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</si>
  <si>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</si>
  <si>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</si>
  <si>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</si>
  <si>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</si>
  <si>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</si>
  <si>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</si>
  <si>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</si>
  <si>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</si>
  <si>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</si>
  <si>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</si>
  <si>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</si>
  <si>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</si>
  <si>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</si>
  <si>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</si>
  <si>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</si>
  <si>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</si>
  <si>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</si>
  <si>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</si>
  <si>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</si>
  <si>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</si>
  <si>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</si>
  <si>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</si>
  <si>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</si>
  <si>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</si>
  <si>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</si>
  <si>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</si>
  <si>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</si>
  <si>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</si>
  <si>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</si>
  <si>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</si>
  <si>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</si>
  <si>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</si>
  <si>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</si>
  <si>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</si>
  <si>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</si>
  <si>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</si>
  <si>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</si>
  <si>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</si>
  <si>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</si>
  <si>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</si>
  <si>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</si>
  <si>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</si>
  <si>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</si>
  <si>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</si>
  <si>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</si>
  <si>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</si>
  <si>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</si>
  <si>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</si>
  <si>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</si>
  <si>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</si>
  <si>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</si>
  <si>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</si>
  <si>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</si>
  <si>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</si>
  <si>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</si>
  <si>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</si>
  <si>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</si>
  <si>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</si>
  <si>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</si>
  <si>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</si>
  <si>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</si>
  <si>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</si>
  <si>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</si>
  <si>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</si>
  <si>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</si>
  <si>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</si>
  <si>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</si>
  <si>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</si>
  <si>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</si>
  <si>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</si>
  <si>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</si>
  <si>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</si>
  <si>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</si>
  <si>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</si>
  <si>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</si>
  <si>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</si>
  <si>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</si>
  <si>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</si>
  <si>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</si>
  <si>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</si>
  <si>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</si>
  <si>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</si>
  <si>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</si>
  <si>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</si>
  <si>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</si>
  <si>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</si>
  <si>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</si>
  <si>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</si>
  <si>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</si>
  <si>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</si>
  <si>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</si>
  <si>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</si>
  <si>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</si>
  <si>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</si>
  <si>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</si>
  <si>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</si>
  <si>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</si>
  <si>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</si>
  <si>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</si>
  <si>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</si>
  <si>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</si>
  <si>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</si>
  <si>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</si>
  <si>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</si>
  <si>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</si>
  <si>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</si>
  <si>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</si>
  <si>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</si>
  <si>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</si>
  <si>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</si>
  <si>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</si>
  <si>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</si>
  <si>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</si>
  <si>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</si>
  <si>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</si>
  <si>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</si>
  <si>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</si>
  <si>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</si>
  <si>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</si>
  <si>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</si>
  <si>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</si>
  <si>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</si>
  <si>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</si>
  <si>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</si>
  <si>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</si>
  <si>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</si>
  <si>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</si>
  <si>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</si>
  <si>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</si>
  <si>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</si>
  <si>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</si>
  <si>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</si>
  <si>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</si>
  <si>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</si>
  <si>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</si>
  <si>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</si>
  <si>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</si>
  <si>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</si>
  <si>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</si>
  <si>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</si>
  <si>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</si>
  <si>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</si>
  <si>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attrition rate</t>
  </si>
  <si>
    <t>active employees</t>
  </si>
  <si>
    <t>Average of Job Satisfaction</t>
  </si>
  <si>
    <t>RATING</t>
  </si>
  <si>
    <t xml:space="preserve">BALANCE RATING </t>
  </si>
  <si>
    <t>Row Labels</t>
  </si>
  <si>
    <t>Grand Total</t>
  </si>
  <si>
    <t>Count of Employee Count</t>
  </si>
  <si>
    <t>FEMALE</t>
  </si>
  <si>
    <t>MALE</t>
  </si>
  <si>
    <t>JOB ROLE</t>
  </si>
  <si>
    <t>ATTRITION COUNT</t>
  </si>
  <si>
    <t>Count of Attrition</t>
  </si>
  <si>
    <t>MARITAL STATUS</t>
  </si>
  <si>
    <t>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</si>
</sst>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2"/>
      <color theme="1"/>
      <name val="Calibri"/>
      <scheme val="minor"/>
    </font>
    <font>
      <sz val="12"/>
      <color theme="1"/>
      <name val="Calibri"/>
      <family val="2"/>
      <scheme val="minor"/>
    </font>
    <font>
      <sz val="12"/>
      <color theme="1"/>
      <name val="Calibri"/>
      <family val="2"/>
      <scheme val="minor"/>
    </font>
  </fonts>
  <fills count="2">
    <fill>
      <patternFill patternType="none"/>
    </fill>
    <fill>
      <patternFill patternType="gray125"/>
    </fill>
  </fills>
  <borders count="11">
    <border>
      <left/>
      <right/>
      <top/>
      <bottom/>
      <diagonal/>
    </border>
    <border>
      <left style="thin">
        <color rgb="FFABABAB"/>
      </left>
      <right/>
      <top style="thin">
        <color rgb="FFABABAB"/>
      </top>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s>
  <cellStyleXfs count="2">
    <xf numFmtId="0" fontId="0" fillId="0" borderId="0"/>
    <xf numFmtId="9" fontId="2" fillId="0" borderId="0" applyFont="0" applyFill="0" applyBorder="0" applyAlignment="0" applyProtection="0"/>
  </cellStyleXfs>
  <cellXfs count="25">
    <xf numFmtId="0" fontId="0" fillId="0" borderId="0" xfId="0"/>
    <xf numFmtId="0" fontId="1" fillId="0" borderId="0" xfId="0" applyFont="1"/>
    <xf numFmtId="0" fontId="0" fillId="0" borderId="1" xfId="0" applyBorder="1"/>
    <xf numFmtId="0" fontId="0" fillId="0" borderId="2" xfId="0" applyBorder="1"/>
    <xf numFmtId="0" fontId="0" fillId="0" borderId="5" xfId="0" applyBorder="1"/>
    <xf numFmtId="10" fontId="0" fillId="0" borderId="0" xfId="1" applyNumberFormat="1" applyFont="1"/>
    <xf numFmtId="1" fontId="0" fillId="0" borderId="0" xfId="0" applyNumberFormat="1"/>
    <xf numFmtId="0" fontId="0" fillId="0" borderId="8" xfId="0" applyBorder="1"/>
    <xf numFmtId="164" fontId="0" fillId="0" borderId="9" xfId="0" applyNumberFormat="1" applyBorder="1"/>
    <xf numFmtId="164" fontId="0" fillId="0" borderId="0" xfId="0" applyNumberFormat="1"/>
    <xf numFmtId="0" fontId="0" fillId="0" borderId="1" xfId="0" pivotButton="1" applyBorder="1"/>
    <xf numFmtId="0" fontId="0" fillId="0" borderId="1" xfId="0" applyBorder="1" applyAlignment="1">
      <alignment horizontal="left"/>
    </xf>
    <xf numFmtId="0" fontId="0" fillId="0" borderId="7" xfId="0" applyBorder="1" applyAlignment="1">
      <alignment horizontal="left"/>
    </xf>
    <xf numFmtId="0" fontId="0" fillId="0" borderId="3" xfId="0" applyBorder="1" applyAlignment="1">
      <alignment horizontal="left"/>
    </xf>
    <xf numFmtId="0" fontId="0" fillId="0" borderId="0" xfId="0" applyAlignment="1">
      <alignment horizontal="left"/>
    </xf>
    <xf numFmtId="9" fontId="0" fillId="0" borderId="0" xfId="1" applyFont="1"/>
    <xf numFmtId="10" fontId="0" fillId="0" borderId="8" xfId="0" applyNumberFormat="1" applyBorder="1"/>
    <xf numFmtId="10" fontId="0" fillId="0" borderId="10" xfId="0" applyNumberFormat="1" applyBorder="1"/>
    <xf numFmtId="10" fontId="0" fillId="0" borderId="9" xfId="0" applyNumberFormat="1" applyBorder="1"/>
    <xf numFmtId="0" fontId="0" fillId="0" borderId="8" xfId="0" applyNumberFormat="1" applyBorder="1"/>
    <xf numFmtId="0" fontId="0" fillId="0" borderId="10" xfId="0" applyNumberFormat="1" applyBorder="1"/>
    <xf numFmtId="0" fontId="0" fillId="0" borderId="9" xfId="0" applyNumberFormat="1" applyBorder="1"/>
    <xf numFmtId="0" fontId="0" fillId="0" borderId="3" xfId="0" applyNumberFormat="1" applyBorder="1"/>
    <xf numFmtId="0" fontId="0" fillId="0" borderId="6" xfId="0" applyNumberFormat="1" applyBorder="1"/>
    <xf numFmtId="0" fontId="0" fillId="0" borderId="4" xfId="0" applyNumberFormat="1" applyBorder="1"/>
  </cellXfs>
  <cellStyles count="2">
    <cellStyle name="Normal" xfId="0" builtinId="0"/>
    <cellStyle name="Percent" xfId="1" builtinId="5"/>
  </cellStyles>
  <dxfs count="9">
    <dxf>
      <numFmt numFmtId="164" formatCode="0.0"/>
    </dxf>
    <dxf>
      <numFmt numFmtId="164" formatCode="0.0"/>
    </dxf>
    <dxf>
      <numFmt numFmtId="164" formatCode="0.0"/>
    </dxf>
    <dxf>
      <numFmt numFmtId="164" formatCode="0.0"/>
    </dxf>
    <dxf>
      <numFmt numFmtId="164" formatCode="0.0"/>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8"/>
      <tableStyleElement type="firstRowStripe" dxfId="7"/>
      <tableStyleElement type="secondRowStripe" dxfId="6"/>
    </tableStyle>
    <tableStyle name="Slicer " pivot="0" table="0" count="4" xr9:uid="{7CC24FB4-B393-40F3-A03E-2DCD34E5B5FD}">
      <tableStyleElement type="wholeTable" dxfId="5"/>
    </tableStyle>
  </tableStyles>
  <colors>
    <mruColors>
      <color rgb="FFC9F7DB"/>
      <color rgb="FF20CE62"/>
      <color rgb="FF1D3214"/>
      <color rgb="FFA5F1C2"/>
      <color rgb="FF42E27F"/>
      <color rgb="FF2C4A1E"/>
      <color rgb="FF3C6529"/>
      <color rgb="FF1CB657"/>
      <color rgb="FFCB663D"/>
      <color rgb="FF548E3A"/>
    </mruColors>
  </colors>
  <extLst>
    <ext xmlns:x14="http://schemas.microsoft.com/office/spreadsheetml/2009/9/main" uri="{46F421CA-312F-682f-3DD2-61675219B42D}">
      <x14:dxfs count="3">
        <dxf>
          <fill>
            <gradientFill>
              <stop position="0">
                <color theme="1" tint="0.25098422193060094"/>
              </stop>
              <stop position="1">
                <color theme="0" tint="-0.34900967436750391"/>
              </stop>
            </gradientFill>
          </fill>
        </dxf>
        <dxf>
          <font>
            <b/>
            <i val="0"/>
            <color theme="0"/>
            <name val="Calibri"/>
            <family val="2"/>
            <scheme val="minor"/>
          </font>
          <fill>
            <gradientFill>
              <stop position="0">
                <color theme="9" tint="-0.49803155613879818"/>
              </stop>
              <stop position="1">
                <color theme="9" tint="0.40000610370189521"/>
              </stop>
            </gradientFill>
          </fill>
        </dxf>
        <dxf>
          <fill>
            <gradientFill>
              <stop position="0">
                <color theme="1"/>
              </stop>
              <stop position="1">
                <color theme="0" tint="-0.49803155613879818"/>
              </stop>
            </gradientFill>
          </fill>
        </dxf>
      </x14:dxfs>
    </ext>
    <ext xmlns:x14="http://schemas.microsoft.com/office/spreadsheetml/2009/9/main" uri="{EB79DEF2-80B8-43e5-95BD-54CBDDF9020C}">
      <x14:slicerStyles defaultSlicerStyle="SlicerStyleLight1">
        <x14:slicerStyle name="Slicer ">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17/10/relationships/person" Target="persons/person.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B5-4348-B45D-4EBCA5C6FF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B5-4348-B45D-4EBCA5C6FF1E}"/>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0-C0E1-46F9-BB9C-2CDFB490A39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C7BD-412D-9EFA-A565A4982B7B}"/>
            </c:ext>
          </c:extLst>
        </c:ser>
        <c:ser>
          <c:idx val="1"/>
          <c:order val="1"/>
          <c:spPr>
            <a:solidFill>
              <a:schemeClr val="accent2"/>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5-C7BD-412D-9EFA-A565A4982B7B}"/>
            </c:ext>
          </c:extLst>
        </c:ser>
        <c:dLbls>
          <c:showLegendKey val="0"/>
          <c:showVal val="0"/>
          <c:showCatName val="0"/>
          <c:showSerName val="0"/>
          <c:showPercent val="0"/>
          <c:showBubbleSize val="0"/>
        </c:dLbls>
        <c:gapWidth val="0"/>
        <c:overlap val="100"/>
        <c:axId val="1908382768"/>
        <c:axId val="1872938544"/>
      </c:barChart>
      <c:catAx>
        <c:axId val="1908382768"/>
        <c:scaling>
          <c:orientation val="minMax"/>
        </c:scaling>
        <c:delete val="1"/>
        <c:axPos val="l"/>
        <c:majorTickMark val="out"/>
        <c:minorTickMark val="none"/>
        <c:tickLblPos val="nextTo"/>
        <c:crossAx val="1872938544"/>
        <c:crosses val="autoZero"/>
        <c:auto val="1"/>
        <c:lblAlgn val="ctr"/>
        <c:lblOffset val="100"/>
        <c:noMultiLvlLbl val="0"/>
      </c:catAx>
      <c:valAx>
        <c:axId val="1872938544"/>
        <c:scaling>
          <c:orientation val="minMax"/>
          <c:max val="4"/>
          <c:min val="0"/>
        </c:scaling>
        <c:delete val="1"/>
        <c:axPos val="b"/>
        <c:numFmt formatCode="0.0" sourceLinked="1"/>
        <c:majorTickMark val="out"/>
        <c:minorTickMark val="none"/>
        <c:tickLblPos val="nextTo"/>
        <c:crossAx val="190838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9B-4991-A968-FF20A411B7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9B-4991-A968-FF20A411B775}"/>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4410-4176-9EA7-5E225AFC501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BD11-4539-BC97-ADED15DCEF9B}"/>
            </c:ext>
          </c:extLst>
        </c:ser>
        <c:dLbls>
          <c:dLblPos val="outEnd"/>
          <c:showLegendKey val="0"/>
          <c:showVal val="1"/>
          <c:showCatName val="0"/>
          <c:showSerName val="0"/>
          <c:showPercent val="0"/>
          <c:showBubbleSize val="0"/>
        </c:dLbls>
        <c:gapWidth val="182"/>
        <c:axId val="28801615"/>
        <c:axId val="35508335"/>
      </c:barChart>
      <c:catAx>
        <c:axId val="2880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8335"/>
        <c:crosses val="autoZero"/>
        <c:auto val="1"/>
        <c:lblAlgn val="ctr"/>
        <c:lblOffset val="100"/>
        <c:noMultiLvlLbl val="0"/>
      </c:catAx>
      <c:valAx>
        <c:axId val="35508335"/>
        <c:scaling>
          <c:orientation val="minMax"/>
        </c:scaling>
        <c:delete val="1"/>
        <c:axPos val="b"/>
        <c:numFmt formatCode="General" sourceLinked="1"/>
        <c:majorTickMark val="none"/>
        <c:minorTickMark val="none"/>
        <c:tickLblPos val="nextTo"/>
        <c:crossAx val="2880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DATA_Excel.xlsx]DEPARTMENT WISE ATTRITION!DEPARTMENT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26-4318-91DB-B2BBDEBDBF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26-4318-91DB-B2BBDEBDBF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26-4318-91DB-B2BBDEBDBFC7}"/>
              </c:ext>
            </c:extLst>
          </c:dPt>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D99B-4084-8CE3-DE2561855A8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7A3E-4EA7-A58C-6D0347556413}"/>
            </c:ext>
          </c:extLst>
        </c:ser>
        <c:dLbls>
          <c:showLegendKey val="0"/>
          <c:showVal val="0"/>
          <c:showCatName val="0"/>
          <c:showSerName val="0"/>
          <c:showPercent val="0"/>
          <c:showBubbleSize val="0"/>
        </c:dLbls>
        <c:gapWidth val="219"/>
        <c:overlap val="-27"/>
        <c:axId val="270550415"/>
        <c:axId val="35502575"/>
      </c:barChart>
      <c:catAx>
        <c:axId val="27055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2575"/>
        <c:crosses val="autoZero"/>
        <c:auto val="1"/>
        <c:lblAlgn val="ctr"/>
        <c:lblOffset val="100"/>
        <c:noMultiLvlLbl val="0"/>
      </c:catAx>
      <c:valAx>
        <c:axId val="35502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55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explosion val="5"/>
          <c:dPt>
            <c:idx val="0"/>
            <c:bubble3D val="0"/>
            <c:spPr>
              <a:solidFill>
                <a:schemeClr val="accent1">
                  <a:lumMod val="75000"/>
                </a:schemeClr>
              </a:solidFill>
              <a:ln w="19050">
                <a:noFill/>
              </a:ln>
              <a:effectLst/>
            </c:spPr>
            <c:extLst>
              <c:ext xmlns:c16="http://schemas.microsoft.com/office/drawing/2014/chart" uri="{C3380CC4-5D6E-409C-BE32-E72D297353CC}">
                <c16:uniqueId val="{00000001-2760-4D36-A130-7D4991700CAB}"/>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2760-4D36-A130-7D4991700CAB}"/>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2760-4D36-A130-7D4991700CA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A50021"/>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1A71-4327-949D-75DB3C25D3D0}"/>
            </c:ext>
          </c:extLst>
        </c:ser>
        <c:ser>
          <c:idx val="1"/>
          <c:order val="1"/>
          <c:spPr>
            <a:solidFill>
              <a:schemeClr val="bg1"/>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1A71-4327-949D-75DB3C25D3D0}"/>
            </c:ext>
          </c:extLst>
        </c:ser>
        <c:dLbls>
          <c:showLegendKey val="0"/>
          <c:showVal val="0"/>
          <c:showCatName val="0"/>
          <c:showSerName val="0"/>
          <c:showPercent val="0"/>
          <c:showBubbleSize val="0"/>
        </c:dLbls>
        <c:gapWidth val="0"/>
        <c:overlap val="100"/>
        <c:axId val="1908382768"/>
        <c:axId val="1872938544"/>
      </c:barChart>
      <c:catAx>
        <c:axId val="1908382768"/>
        <c:scaling>
          <c:orientation val="minMax"/>
        </c:scaling>
        <c:delete val="1"/>
        <c:axPos val="l"/>
        <c:majorTickMark val="out"/>
        <c:minorTickMark val="none"/>
        <c:tickLblPos val="nextTo"/>
        <c:crossAx val="1872938544"/>
        <c:crosses val="autoZero"/>
        <c:auto val="1"/>
        <c:lblAlgn val="ctr"/>
        <c:lblOffset val="100"/>
        <c:noMultiLvlLbl val="0"/>
      </c:catAx>
      <c:valAx>
        <c:axId val="1872938544"/>
        <c:scaling>
          <c:orientation val="minMax"/>
          <c:max val="4"/>
          <c:min val="0"/>
        </c:scaling>
        <c:delete val="1"/>
        <c:axPos val="b"/>
        <c:numFmt formatCode="0.0" sourceLinked="1"/>
        <c:majorTickMark val="out"/>
        <c:minorTickMark val="none"/>
        <c:tickLblPos val="nextTo"/>
        <c:crossAx val="190838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9922466688916843E-2"/>
          <c:y val="0.1304138623040858"/>
          <c:w val="0.57976260772081167"/>
          <c:h val="0.79506393066500802"/>
        </c:manualLayout>
      </c:layout>
      <c:doughnutChart>
        <c:varyColors val="1"/>
        <c:ser>
          <c:idx val="0"/>
          <c:order val="0"/>
          <c:spPr>
            <a:ln>
              <a:noFill/>
            </a:ln>
          </c:spPr>
          <c:dPt>
            <c:idx val="0"/>
            <c:bubble3D val="0"/>
            <c:spPr>
              <a:gradFill>
                <a:gsLst>
                  <a:gs pos="0">
                    <a:srgbClr val="59174B"/>
                  </a:gs>
                  <a:gs pos="100000">
                    <a:srgbClr val="CF45B1"/>
                  </a:gs>
                </a:gsLst>
                <a:lin ang="5400000" scaled="1"/>
              </a:gradFill>
              <a:ln w="19050">
                <a:noFill/>
              </a:ln>
              <a:effectLst/>
            </c:spPr>
            <c:extLst>
              <c:ext xmlns:c16="http://schemas.microsoft.com/office/drawing/2014/chart" uri="{C3380CC4-5D6E-409C-BE32-E72D297353CC}">
                <c16:uniqueId val="{00000001-3A61-4821-B119-27CF14F54419}"/>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3A61-4821-B119-27CF14F54419}"/>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3A61-4821-B119-27CF14F54419}"/>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1390037055103418"/>
          <c:y val="8.3837482909769445E-2"/>
          <c:w val="0.57976260772081167"/>
          <c:h val="0.79506393066500802"/>
        </c:manualLayout>
      </c:layout>
      <c:doughnutChart>
        <c:varyColors val="1"/>
        <c:ser>
          <c:idx val="0"/>
          <c:order val="0"/>
          <c:spPr>
            <a:solidFill>
              <a:schemeClr val="bg1"/>
            </a:solidFill>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2452-4662-B35E-F60D898C9CE7}"/>
              </c:ext>
            </c:extLst>
          </c:dPt>
          <c:dPt>
            <c:idx val="1"/>
            <c:bubble3D val="0"/>
            <c:spPr>
              <a:gradFill>
                <a:gsLst>
                  <a:gs pos="0">
                    <a:srgbClr val="5B6ECD"/>
                  </a:gs>
                  <a:gs pos="100000">
                    <a:srgbClr val="253379"/>
                  </a:gs>
                </a:gsLst>
                <a:lin ang="5400000" scaled="1"/>
              </a:gradFill>
              <a:ln w="19050">
                <a:noFill/>
              </a:ln>
              <a:effectLst/>
            </c:spPr>
            <c:extLst>
              <c:ext xmlns:c16="http://schemas.microsoft.com/office/drawing/2014/chart" uri="{C3380CC4-5D6E-409C-BE32-E72D297353CC}">
                <c16:uniqueId val="{00000003-2452-4662-B35E-F60D898C9CE7}"/>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2452-4662-B35E-F60D898C9CE7}"/>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6">
                    <a:lumMod val="50000"/>
                  </a:schemeClr>
                </a:gs>
                <a:gs pos="100000">
                  <a:schemeClr val="accent6">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C5FC-437F-822F-3CFDFF9FF700}"/>
            </c:ext>
          </c:extLst>
        </c:ser>
        <c:dLbls>
          <c:dLblPos val="outEnd"/>
          <c:showLegendKey val="0"/>
          <c:showVal val="1"/>
          <c:showCatName val="0"/>
          <c:showSerName val="0"/>
          <c:showPercent val="0"/>
          <c:showBubbleSize val="0"/>
        </c:dLbls>
        <c:gapWidth val="77"/>
        <c:axId val="28801615"/>
        <c:axId val="35508335"/>
      </c:barChart>
      <c:catAx>
        <c:axId val="2880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508335"/>
        <c:crosses val="autoZero"/>
        <c:auto val="1"/>
        <c:lblAlgn val="ctr"/>
        <c:lblOffset val="100"/>
        <c:noMultiLvlLbl val="0"/>
      </c:catAx>
      <c:valAx>
        <c:axId val="35508335"/>
        <c:scaling>
          <c:orientation val="minMax"/>
        </c:scaling>
        <c:delete val="1"/>
        <c:axPos val="b"/>
        <c:numFmt formatCode="General" sourceLinked="1"/>
        <c:majorTickMark val="none"/>
        <c:minorTickMark val="none"/>
        <c:tickLblPos val="nextTo"/>
        <c:crossAx val="2880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DATA_Excel.xlsx]DEPARTMENT WISE ATTRITION!DEPARTMENT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75000"/>
                </a:schemeClr>
              </a:gs>
              <a:gs pos="100000">
                <a:schemeClr val="accent1">
                  <a:lumMod val="60000"/>
                  <a:lumOff val="40000"/>
                </a:schemeClr>
              </a:gs>
            </a:gsLst>
            <a:lin ang="10800000" scaled="0"/>
          </a:gradFill>
          <a:ln w="19050">
            <a:solidFill>
              <a:schemeClr val="bg1">
                <a:lumMod val="85000"/>
              </a:schemeClr>
            </a:solidFill>
          </a:ln>
          <a:effectLst/>
        </c:spPr>
      </c:pivotFmt>
      <c:pivotFmt>
        <c:idx val="7"/>
        <c:spPr>
          <a:gradFill>
            <a:gsLst>
              <a:gs pos="0">
                <a:schemeClr val="accent5">
                  <a:lumMod val="52000"/>
                </a:schemeClr>
              </a:gs>
              <a:gs pos="100000">
                <a:schemeClr val="accent5">
                  <a:lumMod val="50000"/>
                </a:schemeClr>
              </a:gs>
            </a:gsLst>
            <a:lin ang="10800000" scaled="0"/>
          </a:gradFill>
          <a:ln w="12700">
            <a:solidFill>
              <a:schemeClr val="bg1">
                <a:lumMod val="85000"/>
              </a:schemeClr>
            </a:solidFill>
          </a:ln>
          <a:effectLst/>
        </c:spPr>
      </c:pivotFmt>
      <c:pivotFmt>
        <c:idx val="8"/>
        <c:spPr>
          <a:gradFill>
            <a:gsLst>
              <a:gs pos="0">
                <a:schemeClr val="accent3">
                  <a:lumMod val="50000"/>
                </a:schemeClr>
              </a:gs>
              <a:gs pos="100000">
                <a:schemeClr val="accent3">
                  <a:lumMod val="75000"/>
                </a:schemeClr>
              </a:gs>
            </a:gsLst>
            <a:lin ang="10800000" scaled="0"/>
          </a:gradFill>
          <a:ln w="19050">
            <a:solidFill>
              <a:schemeClr val="bg1">
                <a:lumMod val="85000"/>
              </a:schemeClr>
            </a:solidFill>
          </a:ln>
          <a:effectLst/>
        </c:spPr>
      </c:pivotFmt>
    </c:pivotFmts>
    <c:plotArea>
      <c:layout/>
      <c:pieChart>
        <c:varyColors val="1"/>
        <c:ser>
          <c:idx val="0"/>
          <c:order val="0"/>
          <c:tx>
            <c:strRef>
              <c:f>'DEPARTMENT WISE ATTRITION'!$B$3</c:f>
              <c:strCache>
                <c:ptCount val="1"/>
                <c:pt idx="0">
                  <c:v>Total</c:v>
                </c:pt>
              </c:strCache>
            </c:strRef>
          </c:tx>
          <c:spPr>
            <a:ln>
              <a:solidFill>
                <a:schemeClr val="bg1">
                  <a:lumMod val="85000"/>
                </a:schemeClr>
              </a:solidFill>
            </a:ln>
          </c:spPr>
          <c:dPt>
            <c:idx val="0"/>
            <c:bubble3D val="0"/>
            <c:spPr>
              <a:gradFill>
                <a:gsLst>
                  <a:gs pos="0">
                    <a:schemeClr val="accent1">
                      <a:lumMod val="75000"/>
                    </a:schemeClr>
                  </a:gs>
                  <a:gs pos="100000">
                    <a:schemeClr val="accent1">
                      <a:lumMod val="60000"/>
                      <a:lumOff val="40000"/>
                    </a:schemeClr>
                  </a:gs>
                </a:gsLst>
                <a:lin ang="10800000" scaled="0"/>
              </a:gradFill>
              <a:ln w="19050">
                <a:solidFill>
                  <a:schemeClr val="bg1">
                    <a:lumMod val="85000"/>
                  </a:schemeClr>
                </a:solidFill>
              </a:ln>
              <a:effectLst/>
            </c:spPr>
            <c:extLst>
              <c:ext xmlns:c16="http://schemas.microsoft.com/office/drawing/2014/chart" uri="{C3380CC4-5D6E-409C-BE32-E72D297353CC}">
                <c16:uniqueId val="{00000001-3C7A-4677-8708-27B1DD0D8E83}"/>
              </c:ext>
            </c:extLst>
          </c:dPt>
          <c:dPt>
            <c:idx val="1"/>
            <c:bubble3D val="0"/>
            <c:spPr>
              <a:gradFill>
                <a:gsLst>
                  <a:gs pos="0">
                    <a:schemeClr val="accent5">
                      <a:lumMod val="52000"/>
                    </a:schemeClr>
                  </a:gs>
                  <a:gs pos="100000">
                    <a:schemeClr val="accent5">
                      <a:lumMod val="50000"/>
                    </a:schemeClr>
                  </a:gs>
                </a:gsLst>
                <a:lin ang="10800000" scaled="0"/>
              </a:gradFill>
              <a:ln w="12700">
                <a:solidFill>
                  <a:schemeClr val="bg1">
                    <a:lumMod val="85000"/>
                  </a:schemeClr>
                </a:solidFill>
              </a:ln>
              <a:effectLst/>
            </c:spPr>
            <c:extLst>
              <c:ext xmlns:c16="http://schemas.microsoft.com/office/drawing/2014/chart" uri="{C3380CC4-5D6E-409C-BE32-E72D297353CC}">
                <c16:uniqueId val="{00000003-3C7A-4677-8708-27B1DD0D8E83}"/>
              </c:ext>
            </c:extLst>
          </c:dPt>
          <c:dPt>
            <c:idx val="2"/>
            <c:bubble3D val="0"/>
            <c:spPr>
              <a:gradFill>
                <a:gsLst>
                  <a:gs pos="0">
                    <a:schemeClr val="accent3">
                      <a:lumMod val="50000"/>
                    </a:schemeClr>
                  </a:gs>
                  <a:gs pos="100000">
                    <a:schemeClr val="accent3">
                      <a:lumMod val="75000"/>
                    </a:schemeClr>
                  </a:gs>
                </a:gsLst>
                <a:lin ang="10800000" scaled="0"/>
              </a:gradFill>
              <a:ln w="19050">
                <a:solidFill>
                  <a:schemeClr val="bg1">
                    <a:lumMod val="85000"/>
                  </a:schemeClr>
                </a:solidFill>
              </a:ln>
              <a:effectLst/>
            </c:spPr>
            <c:extLst>
              <c:ext xmlns:c16="http://schemas.microsoft.com/office/drawing/2014/chart" uri="{C3380CC4-5D6E-409C-BE32-E72D297353CC}">
                <c16:uniqueId val="{00000005-3C7A-4677-8708-27B1DD0D8E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3C7A-4677-8708-27B1DD0D8E8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75000"/>
                </a:schemeClr>
              </a:gs>
              <a:gs pos="100000">
                <a:schemeClr val="accent2">
                  <a:lumMod val="5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0">
                  <a:schemeClr val="accent2">
                    <a:lumMod val="75000"/>
                  </a:schemeClr>
                </a:gs>
                <a:gs pos="100000">
                  <a:schemeClr val="accent2">
                    <a:lumMod val="5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078F-4463-A55F-0DE9CEBFF1F2}"/>
            </c:ext>
          </c:extLst>
        </c:ser>
        <c:dLbls>
          <c:dLblPos val="outEnd"/>
          <c:showLegendKey val="0"/>
          <c:showVal val="1"/>
          <c:showCatName val="0"/>
          <c:showSerName val="0"/>
          <c:showPercent val="0"/>
          <c:showBubbleSize val="0"/>
        </c:dLbls>
        <c:gapWidth val="107"/>
        <c:overlap val="-27"/>
        <c:axId val="270550415"/>
        <c:axId val="35502575"/>
      </c:barChart>
      <c:catAx>
        <c:axId val="27055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2575"/>
        <c:crosses val="autoZero"/>
        <c:auto val="1"/>
        <c:lblAlgn val="ctr"/>
        <c:lblOffset val="100"/>
        <c:noMultiLvlLbl val="0"/>
      </c:catAx>
      <c:valAx>
        <c:axId val="35502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55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00000000-C0E3-43DB-991D-BBDF233D75BF}">
          <cx:tx>
            <cx:txData>
              <cx:f>_xlchart.v1.1</cx:f>
              <cx:v>ATTRITION COUNT</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83B89E2C-8BDD-45DB-AED1-5D2AF12EB971}">
          <cx:tx>
            <cx:txData>
              <cx:f>_xlchart.v2.4</cx:f>
              <cx:v>ATTRITION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00000000-C0E3-43DB-991D-BBDF233D75BF}">
          <cx:tx>
            <cx:txData>
              <cx:f>_xlchart.v1.7</cx:f>
              <cx:v>ATTRITION COUNT</cx:v>
            </cx:txData>
          </cx:tx>
          <cx:dataPt idx="2">
            <cx:spPr>
              <a:solidFill>
                <a:srgbClr val="5B9BD5">
                  <a:lumMod val="75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plotArea>
      <cx:plotAreaRegion>
        <cx:series layoutId="funnel" uniqueId="{83B89E2C-8BDD-45DB-AED1-5D2AF12EB971}">
          <cx:tx>
            <cx:txData>
              <cx:f>_xlchart.v2.10</cx:f>
              <cx:v>ATTRITION</cx:v>
            </cx:txData>
          </cx:tx>
          <cx:spPr>
            <a:gradFill>
              <a:gsLst>
                <a:gs pos="0">
                  <a:schemeClr val="accent4">
                    <a:lumMod val="50000"/>
                  </a:schemeClr>
                </a:gs>
                <a:gs pos="100000">
                  <a:schemeClr val="accent4">
                    <a:lumMod val="75000"/>
                  </a:schemeClr>
                </a:gs>
              </a:gsLst>
              <a:lin ang="10800000" scaled="0"/>
            </a:gra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latin typeface="LATO BLACK" panose="020F0502020204030203" pitchFamily="34" charset="0"/>
                <a:ea typeface="LATO BLACK" panose="020F0502020204030203" pitchFamily="34" charset="0"/>
                <a:cs typeface="LATO BLACK" panose="020F0502020204030203" pitchFamily="34" charset="0"/>
              </a:defRPr>
            </a:pPr>
            <a:endParaRPr lang="en-US" sz="1000" b="1" i="0" u="none" strike="noStrike" baseline="0">
              <a:solidFill>
                <a:srgbClr val="000000">
                  <a:lumMod val="65000"/>
                  <a:lumOff val="35000"/>
                </a:srgbClr>
              </a:solidFill>
              <a:latin typeface="LATO BLACK" panose="020F0502020204030203" pitchFamily="34" charset="0"/>
              <a:ea typeface="LATO BLACK" panose="020F0502020204030203" pitchFamily="34" charset="0"/>
              <a:cs typeface="LATO BLACK" panose="020F050202020403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image" Target="../media/image14.svg"/><Relationship Id="rId3" Type="http://schemas.openxmlformats.org/officeDocument/2006/relationships/image" Target="../media/image2.png"/><Relationship Id="rId21" Type="http://schemas.openxmlformats.org/officeDocument/2006/relationships/chart" Target="../charts/chart11.xml"/><Relationship Id="rId7" Type="http://schemas.openxmlformats.org/officeDocument/2006/relationships/image" Target="../media/image7.png"/><Relationship Id="rId12" Type="http://schemas.openxmlformats.org/officeDocument/2006/relationships/image" Target="../media/image8.png"/><Relationship Id="rId17" Type="http://schemas.openxmlformats.org/officeDocument/2006/relationships/image" Target="../media/image13.png"/><Relationship Id="rId25" Type="http://schemas.microsoft.com/office/2014/relationships/chartEx" Target="../charts/chartEx4.xml"/><Relationship Id="rId2" Type="http://schemas.openxmlformats.org/officeDocument/2006/relationships/image" Target="../media/image4.png"/><Relationship Id="rId16" Type="http://schemas.openxmlformats.org/officeDocument/2006/relationships/image" Target="../media/image12.svg"/><Relationship Id="rId20" Type="http://schemas.openxmlformats.org/officeDocument/2006/relationships/image" Target="../media/image16.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24" Type="http://schemas.openxmlformats.org/officeDocument/2006/relationships/chart" Target="../charts/chart13.xml"/><Relationship Id="rId5" Type="http://schemas.openxmlformats.org/officeDocument/2006/relationships/image" Target="../media/image3.png"/><Relationship Id="rId15" Type="http://schemas.openxmlformats.org/officeDocument/2006/relationships/image" Target="../media/image11.png"/><Relationship Id="rId23" Type="http://schemas.openxmlformats.org/officeDocument/2006/relationships/chart" Target="../charts/chart12.xml"/><Relationship Id="rId10" Type="http://schemas.openxmlformats.org/officeDocument/2006/relationships/chart" Target="../charts/chart9.xml"/><Relationship Id="rId19" Type="http://schemas.openxmlformats.org/officeDocument/2006/relationships/image" Target="../media/image15.png"/><Relationship Id="rId4" Type="http://schemas.openxmlformats.org/officeDocument/2006/relationships/image" Target="../media/image5.png"/><Relationship Id="rId9" Type="http://schemas.openxmlformats.org/officeDocument/2006/relationships/chart" Target="../charts/chart8.xml"/><Relationship Id="rId14" Type="http://schemas.openxmlformats.org/officeDocument/2006/relationships/image" Target="../media/image10.png"/><Relationship Id="rId22"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editAs="oneCell">
    <xdr:from>
      <xdr:col>11</xdr:col>
      <xdr:colOff>137160</xdr:colOff>
      <xdr:row>1</xdr:row>
      <xdr:rowOff>175261</xdr:rowOff>
    </xdr:from>
    <xdr:to>
      <xdr:col>13</xdr:col>
      <xdr:colOff>624840</xdr:colOff>
      <xdr:row>7</xdr:row>
      <xdr:rowOff>7621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140E595-C68F-AF1E-9077-3E24E8E72ED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134600" y="373381"/>
              <a:ext cx="1828800" cy="1021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381000</xdr:colOff>
      <xdr:row>1</xdr:row>
      <xdr:rowOff>144780</xdr:rowOff>
    </xdr:from>
    <xdr:to>
      <xdr:col>7</xdr:col>
      <xdr:colOff>175260</xdr:colOff>
      <xdr:row>6</xdr:row>
      <xdr:rowOff>186690</xdr:rowOff>
    </xdr:to>
    <xdr:graphicFrame macro="">
      <xdr:nvGraphicFramePr>
        <xdr:cNvPr id="2" name="Chart 1">
          <a:extLst>
            <a:ext uri="{FF2B5EF4-FFF2-40B4-BE49-F238E27FC236}">
              <a16:creationId xmlns:a16="http://schemas.microsoft.com/office/drawing/2014/main" id="{E60E898C-0A77-C945-4A14-A1E8ACDCC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350520</xdr:colOff>
      <xdr:row>1</xdr:row>
      <xdr:rowOff>175261</xdr:rowOff>
    </xdr:from>
    <xdr:to>
      <xdr:col>12</xdr:col>
      <xdr:colOff>167640</xdr:colOff>
      <xdr:row>6</xdr:row>
      <xdr:rowOff>137161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66416AA4-62BA-82DA-35FD-96618870451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513320" y="373381"/>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316230</xdr:colOff>
      <xdr:row>18</xdr:row>
      <xdr:rowOff>45720</xdr:rowOff>
    </xdr:from>
    <xdr:to>
      <xdr:col>10</xdr:col>
      <xdr:colOff>617220</xdr:colOff>
      <xdr:row>23</xdr:row>
      <xdr:rowOff>118110</xdr:rowOff>
    </xdr:to>
    <xdr:graphicFrame macro="">
      <xdr:nvGraphicFramePr>
        <xdr:cNvPr id="4" name="Chart 3">
          <a:extLst>
            <a:ext uri="{FF2B5EF4-FFF2-40B4-BE49-F238E27FC236}">
              <a16:creationId xmlns:a16="http://schemas.microsoft.com/office/drawing/2014/main" id="{3E31C9D6-F1AA-75B9-38F2-F03CABA89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571500</xdr:colOff>
      <xdr:row>7</xdr:row>
      <xdr:rowOff>30481</xdr:rowOff>
    </xdr:from>
    <xdr:to>
      <xdr:col>14</xdr:col>
      <xdr:colOff>388620</xdr:colOff>
      <xdr:row>17</xdr:row>
      <xdr:rowOff>175261</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8B21E805-99EA-87FB-3887-3359E2618976}"/>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9075420" y="1417321"/>
              <a:ext cx="1828800" cy="2125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381000</xdr:colOff>
      <xdr:row>4</xdr:row>
      <xdr:rowOff>68581</xdr:rowOff>
    </xdr:from>
    <xdr:to>
      <xdr:col>7</xdr:col>
      <xdr:colOff>198120</xdr:colOff>
      <xdr:row>16</xdr:row>
      <xdr:rowOff>22861</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7631BADC-5111-6F91-E684-5E52F9A3A68F}"/>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4389120" y="861061"/>
              <a:ext cx="1828800" cy="2331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152400</xdr:colOff>
      <xdr:row>2</xdr:row>
      <xdr:rowOff>68581</xdr:rowOff>
    </xdr:from>
    <xdr:to>
      <xdr:col>11</xdr:col>
      <xdr:colOff>640080</xdr:colOff>
      <xdr:row>8</xdr:row>
      <xdr:rowOff>99061</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C3E5D5DB-ACF7-FBEC-FD18-2ADEFE356F25}"/>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513320" y="4648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80010</xdr:colOff>
      <xdr:row>13</xdr:row>
      <xdr:rowOff>38100</xdr:rowOff>
    </xdr:from>
    <xdr:to>
      <xdr:col>12</xdr:col>
      <xdr:colOff>548640</xdr:colOff>
      <xdr:row>21</xdr:row>
      <xdr:rowOff>72390</xdr:rowOff>
    </xdr:to>
    <xdr:graphicFrame macro="">
      <xdr:nvGraphicFramePr>
        <xdr:cNvPr id="4" name="Chart 3">
          <a:extLst>
            <a:ext uri="{FF2B5EF4-FFF2-40B4-BE49-F238E27FC236}">
              <a16:creationId xmlns:a16="http://schemas.microsoft.com/office/drawing/2014/main" id="{D8290DF8-187D-2F64-F266-968690052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163830</xdr:colOff>
      <xdr:row>4</xdr:row>
      <xdr:rowOff>160020</xdr:rowOff>
    </xdr:from>
    <xdr:to>
      <xdr:col>9</xdr:col>
      <xdr:colOff>41910</xdr:colOff>
      <xdr:row>18</xdr:row>
      <xdr:rowOff>129540</xdr:rowOff>
    </xdr:to>
    <xdr:graphicFrame macro="">
      <xdr:nvGraphicFramePr>
        <xdr:cNvPr id="2" name="Chart 1">
          <a:extLst>
            <a:ext uri="{FF2B5EF4-FFF2-40B4-BE49-F238E27FC236}">
              <a16:creationId xmlns:a16="http://schemas.microsoft.com/office/drawing/2014/main" id="{12F001CE-B923-60C4-FD31-598A001DDE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358140</xdr:colOff>
      <xdr:row>8</xdr:row>
      <xdr:rowOff>137160</xdr:rowOff>
    </xdr:from>
    <xdr:to>
      <xdr:col>8</xdr:col>
      <xdr:colOff>140970</xdr:colOff>
      <xdr:row>18</xdr:row>
      <xdr:rowOff>125730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E07BA0BF-C4F5-911A-FDBE-DE30C28FFF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12080" y="1722120"/>
              <a:ext cx="4149090" cy="19697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350520</xdr:colOff>
      <xdr:row>7</xdr:row>
      <xdr:rowOff>152400</xdr:rowOff>
    </xdr:from>
    <xdr:to>
      <xdr:col>9</xdr:col>
      <xdr:colOff>331470</xdr:colOff>
      <xdr:row>18</xdr:row>
      <xdr:rowOff>129540</xdr:rowOff>
    </xdr:to>
    <xdr:graphicFrame macro="">
      <xdr:nvGraphicFramePr>
        <xdr:cNvPr id="2" name="Chart 1">
          <a:extLst>
            <a:ext uri="{FF2B5EF4-FFF2-40B4-BE49-F238E27FC236}">
              <a16:creationId xmlns:a16="http://schemas.microsoft.com/office/drawing/2014/main" id="{1B482153-2A51-1BC7-ED89-AF5235D46C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60960</xdr:colOff>
      <xdr:row>8</xdr:row>
      <xdr:rowOff>60960</xdr:rowOff>
    </xdr:from>
    <xdr:to>
      <xdr:col>9</xdr:col>
      <xdr:colOff>140970</xdr:colOff>
      <xdr:row>18</xdr:row>
      <xdr:rowOff>125730</xdr:rowOff>
    </xdr:to>
    <xdr:graphicFrame macro="">
      <xdr:nvGraphicFramePr>
        <xdr:cNvPr id="2" name="Chart 1">
          <a:extLst>
            <a:ext uri="{FF2B5EF4-FFF2-40B4-BE49-F238E27FC236}">
              <a16:creationId xmlns:a16="http://schemas.microsoft.com/office/drawing/2014/main" id="{6C03339E-FA10-E468-95FF-82F11AF388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388620</xdr:colOff>
      <xdr:row>2</xdr:row>
      <xdr:rowOff>83820</xdr:rowOff>
    </xdr:from>
    <xdr:to>
      <xdr:col>14</xdr:col>
      <xdr:colOff>205740</xdr:colOff>
      <xdr:row>16</xdr:row>
      <xdr:rowOff>5715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0202D3CA-5EED-B179-4648-B2AF5961AB4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090660" y="4800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2</xdr:row>
      <xdr:rowOff>91440</xdr:rowOff>
    </xdr:from>
    <xdr:to>
      <xdr:col>17</xdr:col>
      <xdr:colOff>487680</xdr:colOff>
      <xdr:row>16</xdr:row>
      <xdr:rowOff>13335</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83D91F9F-9ECD-775D-85A3-C33C45EE05A1}"/>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1384280" y="4876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133350</xdr:colOff>
      <xdr:row>4</xdr:row>
      <xdr:rowOff>156210</xdr:rowOff>
    </xdr:from>
    <xdr:to>
      <xdr:col>12</xdr:col>
      <xdr:colOff>11430</xdr:colOff>
      <xdr:row>18</xdr:row>
      <xdr:rowOff>125730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4C998EF-7594-58F0-B175-4CC46D9E54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9170" y="9486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47625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0" y="476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1.xml><?xml version="1.0" encoding="utf-8"?>
<xdr:wsDr xmlns:xdr="http://schemas.openxmlformats.org/drawingml/2006/spreadsheetDrawing" xmlns:a="http://schemas.openxmlformats.org/drawingml/2006/main">
  <xdr:twoCellAnchor>
    <xdr:from>
      <xdr:col>0</xdr:col>
      <xdr:colOff>15712</xdr:colOff>
      <xdr:row>0</xdr:row>
      <xdr:rowOff>26906</xdr:rowOff>
    </xdr:from>
    <xdr:to>
      <xdr:col>22</xdr:col>
      <xdr:colOff>219959</xdr:colOff>
      <xdr:row>34</xdr:row>
      <xdr:rowOff>62844</xdr:rowOff>
    </xdr:to>
    <xdr:grpSp>
      <xdr:nvGrpSpPr>
        <xdr:cNvPr id="6" name="Group 5">
          <a:extLst>
            <a:ext uri="{FF2B5EF4-FFF2-40B4-BE49-F238E27FC236}">
              <a16:creationId xmlns:a16="http://schemas.microsoft.com/office/drawing/2014/main" id="{08CF60D6-F1E9-3178-AE54-9448AD730A88}"/>
            </a:ext>
          </a:extLst>
        </xdr:cNvPr>
        <xdr:cNvGrpSpPr/>
      </xdr:nvGrpSpPr>
      <xdr:grpSpPr>
        <a:xfrm>
          <a:off x="15712" y="26906"/>
          <a:ext cx="14548701" cy="6446165"/>
          <a:chOff x="0" y="19051"/>
          <a:chExt cx="14548701" cy="6446165"/>
        </a:xfrm>
      </xdr:grpSpPr>
      <xdr:grpSp>
        <xdr:nvGrpSpPr>
          <xdr:cNvPr id="2" name="Shape 2">
            <a:extLst>
              <a:ext uri="{FF2B5EF4-FFF2-40B4-BE49-F238E27FC236}">
                <a16:creationId xmlns:a16="http://schemas.microsoft.com/office/drawing/2014/main" id="{00000000-0008-0000-0300-000002000000}"/>
              </a:ext>
            </a:extLst>
          </xdr:cNvPr>
          <xdr:cNvGrpSpPr/>
        </xdr:nvGrpSpPr>
        <xdr:grpSpPr>
          <a:xfrm>
            <a:off x="0" y="19051"/>
            <a:ext cx="14548701" cy="644616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sp macro="" textlink="">
        <xdr:nvSpPr>
          <xdr:cNvPr id="3" name="TextBox 2">
            <a:extLst>
              <a:ext uri="{FF2B5EF4-FFF2-40B4-BE49-F238E27FC236}">
                <a16:creationId xmlns:a16="http://schemas.microsoft.com/office/drawing/2014/main" id="{71CA57E8-B717-8C12-E87F-B0D84D7A1483}"/>
              </a:ext>
            </a:extLst>
          </xdr:cNvPr>
          <xdr:cNvSpPr txBox="1"/>
        </xdr:nvSpPr>
        <xdr:spPr>
          <a:xfrm>
            <a:off x="133545" y="911258"/>
            <a:ext cx="2089609" cy="282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A50021"/>
                </a:solidFill>
              </a:rPr>
              <a:t>TOTAL</a:t>
            </a:r>
            <a:r>
              <a:rPr lang="en-IN" sz="1400" b="1">
                <a:solidFill>
                  <a:srgbClr val="A50021"/>
                </a:solidFill>
              </a:rPr>
              <a:t> </a:t>
            </a:r>
            <a:r>
              <a:rPr lang="en-IN" sz="1800" b="1">
                <a:solidFill>
                  <a:srgbClr val="A50021"/>
                </a:solidFill>
              </a:rPr>
              <a:t>EMPLOYEES</a:t>
            </a:r>
          </a:p>
        </xdr:txBody>
      </xdr:sp>
      <xdr:sp macro="" textlink="kpi!A7">
        <xdr:nvSpPr>
          <xdr:cNvPr id="5" name="TextBox 4">
            <a:extLst>
              <a:ext uri="{FF2B5EF4-FFF2-40B4-BE49-F238E27FC236}">
                <a16:creationId xmlns:a16="http://schemas.microsoft.com/office/drawing/2014/main" id="{64130476-059C-42A9-C2CB-A2FD880F5DE9}"/>
              </a:ext>
            </a:extLst>
          </xdr:cNvPr>
          <xdr:cNvSpPr txBox="1"/>
        </xdr:nvSpPr>
        <xdr:spPr>
          <a:xfrm>
            <a:off x="353506" y="1186206"/>
            <a:ext cx="1406165" cy="384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19D4FC-FDA2-4D01-A770-87BD84F88839}" type="TxLink">
              <a:rPr lang="en-US" sz="20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1470</a:t>
            </a:fld>
            <a:endParaRPr lang="en-IN" sz="20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5</xdr:col>
      <xdr:colOff>23567</xdr:colOff>
      <xdr:row>4</xdr:row>
      <xdr:rowOff>168309</xdr:rowOff>
    </xdr:from>
    <xdr:to>
      <xdr:col>7</xdr:col>
      <xdr:colOff>400640</xdr:colOff>
      <xdr:row>6</xdr:row>
      <xdr:rowOff>74041</xdr:rowOff>
    </xdr:to>
    <xdr:sp macro="" textlink="">
      <xdr:nvSpPr>
        <xdr:cNvPr id="8" name="TextBox 7">
          <a:extLst>
            <a:ext uri="{FF2B5EF4-FFF2-40B4-BE49-F238E27FC236}">
              <a16:creationId xmlns:a16="http://schemas.microsoft.com/office/drawing/2014/main" id="{AD7859FE-E7C5-494C-B026-5E1340F39E2C}"/>
            </a:ext>
          </a:extLst>
        </xdr:cNvPr>
        <xdr:cNvSpPr txBox="1"/>
      </xdr:nvSpPr>
      <xdr:spPr>
        <a:xfrm>
          <a:off x="3283670" y="922453"/>
          <a:ext cx="1681114" cy="282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A50021"/>
              </a:solidFill>
            </a:rPr>
            <a:t>ATTRITION</a:t>
          </a:r>
          <a:endParaRPr lang="en-IN" sz="1400" b="1">
            <a:solidFill>
              <a:srgbClr val="A50021"/>
            </a:solidFill>
          </a:endParaRPr>
        </a:p>
      </xdr:txBody>
    </xdr:sp>
    <xdr:clientData/>
  </xdr:twoCellAnchor>
  <xdr:twoCellAnchor>
    <xdr:from>
      <xdr:col>5</xdr:col>
      <xdr:colOff>180682</xdr:colOff>
      <xdr:row>6</xdr:row>
      <xdr:rowOff>66184</xdr:rowOff>
    </xdr:from>
    <xdr:to>
      <xdr:col>7</xdr:col>
      <xdr:colOff>282806</xdr:colOff>
      <xdr:row>8</xdr:row>
      <xdr:rowOff>54989</xdr:rowOff>
    </xdr:to>
    <xdr:sp macro="" textlink="kpi!B7">
      <xdr:nvSpPr>
        <xdr:cNvPr id="9" name="TextBox 8">
          <a:extLst>
            <a:ext uri="{FF2B5EF4-FFF2-40B4-BE49-F238E27FC236}">
              <a16:creationId xmlns:a16="http://schemas.microsoft.com/office/drawing/2014/main" id="{56C1FACD-92FF-4E2B-8FFC-D2DCAECE39AD}"/>
            </a:ext>
          </a:extLst>
        </xdr:cNvPr>
        <xdr:cNvSpPr txBox="1"/>
      </xdr:nvSpPr>
      <xdr:spPr>
        <a:xfrm>
          <a:off x="3440785" y="1197400"/>
          <a:ext cx="1406165" cy="365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9FADE89-AC53-4C71-993B-56D7B973EFF5}" type="TxLink">
            <a:rPr lang="en-US" sz="20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IN" sz="20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9</xdr:col>
      <xdr:colOff>160254</xdr:colOff>
      <xdr:row>4</xdr:row>
      <xdr:rowOff>187163</xdr:rowOff>
    </xdr:from>
    <xdr:to>
      <xdr:col>12</xdr:col>
      <xdr:colOff>369216</xdr:colOff>
      <xdr:row>6</xdr:row>
      <xdr:rowOff>92895</xdr:rowOff>
    </xdr:to>
    <xdr:sp macro="" textlink="">
      <xdr:nvSpPr>
        <xdr:cNvPr id="7" name="TextBox 6">
          <a:extLst>
            <a:ext uri="{FF2B5EF4-FFF2-40B4-BE49-F238E27FC236}">
              <a16:creationId xmlns:a16="http://schemas.microsoft.com/office/drawing/2014/main" id="{93256879-6161-4A41-A11C-437F5420DC7D}"/>
            </a:ext>
          </a:extLst>
        </xdr:cNvPr>
        <xdr:cNvSpPr txBox="1"/>
      </xdr:nvSpPr>
      <xdr:spPr>
        <a:xfrm>
          <a:off x="6028440" y="941307"/>
          <a:ext cx="2165023" cy="282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A50021"/>
              </a:solidFill>
            </a:rPr>
            <a:t>ACTIVE</a:t>
          </a:r>
          <a:r>
            <a:rPr lang="en-IN" sz="1400" b="1" baseline="0">
              <a:solidFill>
                <a:srgbClr val="A50021"/>
              </a:solidFill>
            </a:rPr>
            <a:t> </a:t>
          </a:r>
          <a:r>
            <a:rPr lang="en-IN" sz="1800" b="1" baseline="0">
              <a:solidFill>
                <a:srgbClr val="A50021"/>
              </a:solidFill>
            </a:rPr>
            <a:t>EMPLOYEES</a:t>
          </a:r>
          <a:endParaRPr lang="en-IN" sz="1400" b="1">
            <a:solidFill>
              <a:srgbClr val="A50021"/>
            </a:solidFill>
          </a:endParaRPr>
        </a:p>
      </xdr:txBody>
    </xdr:sp>
    <xdr:clientData/>
  </xdr:twoCellAnchor>
  <xdr:twoCellAnchor>
    <xdr:from>
      <xdr:col>9</xdr:col>
      <xdr:colOff>545183</xdr:colOff>
      <xdr:row>6</xdr:row>
      <xdr:rowOff>61471</xdr:rowOff>
    </xdr:from>
    <xdr:to>
      <xdr:col>11</xdr:col>
      <xdr:colOff>647307</xdr:colOff>
      <xdr:row>8</xdr:row>
      <xdr:rowOff>78557</xdr:rowOff>
    </xdr:to>
    <xdr:sp macro="" textlink="kpi!D7">
      <xdr:nvSpPr>
        <xdr:cNvPr id="10" name="TextBox 9">
          <a:extLst>
            <a:ext uri="{FF2B5EF4-FFF2-40B4-BE49-F238E27FC236}">
              <a16:creationId xmlns:a16="http://schemas.microsoft.com/office/drawing/2014/main" id="{6CA9A129-F79D-4A05-AEE8-6F282DBDEB9D}"/>
            </a:ext>
          </a:extLst>
        </xdr:cNvPr>
        <xdr:cNvSpPr txBox="1"/>
      </xdr:nvSpPr>
      <xdr:spPr>
        <a:xfrm>
          <a:off x="6413369" y="1192687"/>
          <a:ext cx="1406165" cy="394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15ECC79-9B30-4C6F-83D9-A85E24D1F4F0}" type="TxLink">
            <a:rPr lang="en-US" sz="20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1233</a:t>
          </a:fld>
          <a:endParaRPr lang="en-IN" sz="1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13</xdr:col>
      <xdr:colOff>446202</xdr:colOff>
      <xdr:row>4</xdr:row>
      <xdr:rowOff>166738</xdr:rowOff>
    </xdr:from>
    <xdr:to>
      <xdr:col>16</xdr:col>
      <xdr:colOff>581320</xdr:colOff>
      <xdr:row>6</xdr:row>
      <xdr:rowOff>72470</xdr:rowOff>
    </xdr:to>
    <xdr:sp macro="" textlink="">
      <xdr:nvSpPr>
        <xdr:cNvPr id="11" name="TextBox 10">
          <a:extLst>
            <a:ext uri="{FF2B5EF4-FFF2-40B4-BE49-F238E27FC236}">
              <a16:creationId xmlns:a16="http://schemas.microsoft.com/office/drawing/2014/main" id="{171B8DF2-8CD3-4A5E-92DC-02137C7FA7E7}"/>
            </a:ext>
          </a:extLst>
        </xdr:cNvPr>
        <xdr:cNvSpPr txBox="1"/>
      </xdr:nvSpPr>
      <xdr:spPr>
        <a:xfrm>
          <a:off x="8922470" y="920882"/>
          <a:ext cx="2091180" cy="282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A50021"/>
              </a:solidFill>
            </a:rPr>
            <a:t>ATTRITION</a:t>
          </a:r>
          <a:r>
            <a:rPr lang="en-IN" sz="1400" b="1" baseline="0">
              <a:solidFill>
                <a:srgbClr val="A50021"/>
              </a:solidFill>
            </a:rPr>
            <a:t> </a:t>
          </a:r>
          <a:r>
            <a:rPr lang="en-IN" sz="1800" b="1" baseline="0">
              <a:solidFill>
                <a:srgbClr val="A50021"/>
              </a:solidFill>
            </a:rPr>
            <a:t>RATE</a:t>
          </a:r>
          <a:endParaRPr lang="en-IN" sz="1400" b="1">
            <a:solidFill>
              <a:srgbClr val="A50021"/>
            </a:solidFill>
          </a:endParaRPr>
        </a:p>
      </xdr:txBody>
    </xdr:sp>
    <xdr:clientData/>
  </xdr:twoCellAnchor>
  <xdr:twoCellAnchor>
    <xdr:from>
      <xdr:col>14</xdr:col>
      <xdr:colOff>257667</xdr:colOff>
      <xdr:row>6</xdr:row>
      <xdr:rowOff>9625</xdr:rowOff>
    </xdr:from>
    <xdr:to>
      <xdr:col>16</xdr:col>
      <xdr:colOff>359791</xdr:colOff>
      <xdr:row>7</xdr:row>
      <xdr:rowOff>141402</xdr:rowOff>
    </xdr:to>
    <xdr:sp macro="" textlink="kpi!F7">
      <xdr:nvSpPr>
        <xdr:cNvPr id="12" name="TextBox 11">
          <a:extLst>
            <a:ext uri="{FF2B5EF4-FFF2-40B4-BE49-F238E27FC236}">
              <a16:creationId xmlns:a16="http://schemas.microsoft.com/office/drawing/2014/main" id="{4D30E33C-ECB1-42EB-A45D-FEF41AE709E7}"/>
            </a:ext>
          </a:extLst>
        </xdr:cNvPr>
        <xdr:cNvSpPr txBox="1"/>
      </xdr:nvSpPr>
      <xdr:spPr>
        <a:xfrm>
          <a:off x="9385956" y="1140841"/>
          <a:ext cx="1406165" cy="32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141197-B056-455B-B4B3-2DC65336A1A3}" type="TxLink">
            <a:rPr lang="en-US" sz="2000" b="1" i="0" u="none" strike="noStrike">
              <a:solidFill>
                <a:srgbClr val="002060"/>
              </a:solidFill>
              <a:latin typeface="LATO BLAK"/>
              <a:ea typeface="Calibri"/>
              <a:cs typeface="Calibri"/>
            </a:rPr>
            <a:pPr algn="ctr"/>
            <a:t>16.12%</a:t>
          </a:fld>
          <a:endParaRPr lang="en-IN" sz="1600" b="1">
            <a:solidFill>
              <a:srgbClr val="002060"/>
            </a:solidFill>
            <a:latin typeface="LATO BLAK"/>
            <a:ea typeface="LATO BLACK" panose="020F0502020204030203" pitchFamily="34" charset="0"/>
            <a:cs typeface="LATO BLACK" panose="020F0502020204030203" pitchFamily="34" charset="0"/>
          </a:endParaRPr>
        </a:p>
      </xdr:txBody>
    </xdr:sp>
    <xdr:clientData/>
  </xdr:twoCellAnchor>
  <xdr:twoCellAnchor>
    <xdr:from>
      <xdr:col>18</xdr:col>
      <xdr:colOff>307942</xdr:colOff>
      <xdr:row>4</xdr:row>
      <xdr:rowOff>154169</xdr:rowOff>
    </xdr:from>
    <xdr:to>
      <xdr:col>21</xdr:col>
      <xdr:colOff>32994</xdr:colOff>
      <xdr:row>6</xdr:row>
      <xdr:rowOff>59901</xdr:rowOff>
    </xdr:to>
    <xdr:sp macro="" textlink="">
      <xdr:nvSpPr>
        <xdr:cNvPr id="13" name="TextBox 12">
          <a:extLst>
            <a:ext uri="{FF2B5EF4-FFF2-40B4-BE49-F238E27FC236}">
              <a16:creationId xmlns:a16="http://schemas.microsoft.com/office/drawing/2014/main" id="{333FF08B-0BB0-4244-AF04-598FD89A6365}"/>
            </a:ext>
          </a:extLst>
        </xdr:cNvPr>
        <xdr:cNvSpPr txBox="1"/>
      </xdr:nvSpPr>
      <xdr:spPr>
        <a:xfrm>
          <a:off x="12044313" y="908313"/>
          <a:ext cx="1681114" cy="282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A50021"/>
              </a:solidFill>
            </a:rPr>
            <a:t>AVERAGE</a:t>
          </a:r>
          <a:r>
            <a:rPr lang="en-IN" sz="1400" b="1" baseline="0">
              <a:solidFill>
                <a:srgbClr val="A50021"/>
              </a:solidFill>
            </a:rPr>
            <a:t> </a:t>
          </a:r>
          <a:r>
            <a:rPr lang="en-IN" sz="1800" b="1" baseline="0">
              <a:solidFill>
                <a:srgbClr val="A50021"/>
              </a:solidFill>
            </a:rPr>
            <a:t>AGE</a:t>
          </a:r>
          <a:r>
            <a:rPr lang="en-IN" sz="1400" b="1" baseline="0">
              <a:solidFill>
                <a:srgbClr val="A50021"/>
              </a:solidFill>
            </a:rPr>
            <a:t> </a:t>
          </a:r>
          <a:endParaRPr lang="en-IN" sz="1400" b="1">
            <a:solidFill>
              <a:srgbClr val="A50021"/>
            </a:solidFill>
          </a:endParaRPr>
        </a:p>
      </xdr:txBody>
    </xdr:sp>
    <xdr:clientData/>
  </xdr:twoCellAnchor>
  <xdr:twoCellAnchor>
    <xdr:from>
      <xdr:col>18</xdr:col>
      <xdr:colOff>512192</xdr:colOff>
      <xdr:row>5</xdr:row>
      <xdr:rowOff>177734</xdr:rowOff>
    </xdr:from>
    <xdr:to>
      <xdr:col>20</xdr:col>
      <xdr:colOff>614316</xdr:colOff>
      <xdr:row>8</xdr:row>
      <xdr:rowOff>47133</xdr:rowOff>
    </xdr:to>
    <xdr:sp macro="" textlink="kpi!C7">
      <xdr:nvSpPr>
        <xdr:cNvPr id="14" name="TextBox 13">
          <a:extLst>
            <a:ext uri="{FF2B5EF4-FFF2-40B4-BE49-F238E27FC236}">
              <a16:creationId xmlns:a16="http://schemas.microsoft.com/office/drawing/2014/main" id="{F10AF59E-6C63-454D-B3FA-450B4D41732F}"/>
            </a:ext>
          </a:extLst>
        </xdr:cNvPr>
        <xdr:cNvSpPr txBox="1"/>
      </xdr:nvSpPr>
      <xdr:spPr>
        <a:xfrm>
          <a:off x="12248563" y="1120414"/>
          <a:ext cx="1406165" cy="435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A51A649-03E8-438A-8C4C-B90FBE6D5EAA}" type="TxLink">
            <a:rPr lang="en-US" sz="2000" b="1" i="0" u="none" strike="noStrike">
              <a:solidFill>
                <a:srgbClr val="002060"/>
              </a:solidFill>
              <a:latin typeface="LATO BLAK"/>
              <a:ea typeface="Calibri"/>
              <a:cs typeface="Calibri"/>
            </a:rPr>
            <a:pPr algn="ctr"/>
            <a:t>37</a:t>
          </a:fld>
          <a:endParaRPr lang="en-IN" sz="1600" b="1">
            <a:solidFill>
              <a:srgbClr val="002060"/>
            </a:solidFill>
            <a:latin typeface="LATO BLAK"/>
            <a:ea typeface="LATO BLACK" panose="020F0502020204030203" pitchFamily="34" charset="0"/>
            <a:cs typeface="LATO BLACK" panose="020F0502020204030203" pitchFamily="34" charset="0"/>
          </a:endParaRPr>
        </a:p>
      </xdr:txBody>
    </xdr:sp>
    <xdr:clientData/>
  </xdr:twoCellAnchor>
  <xdr:oneCellAnchor>
    <xdr:from>
      <xdr:col>3</xdr:col>
      <xdr:colOff>502763</xdr:colOff>
      <xdr:row>4</xdr:row>
      <xdr:rowOff>141403</xdr:rowOff>
    </xdr:from>
    <xdr:ext cx="317664" cy="337793"/>
    <xdr:pic>
      <xdr:nvPicPr>
        <xdr:cNvPr id="15" name="image4.png">
          <a:extLst>
            <a:ext uri="{FF2B5EF4-FFF2-40B4-BE49-F238E27FC236}">
              <a16:creationId xmlns:a16="http://schemas.microsoft.com/office/drawing/2014/main" id="{F01CC8DB-5982-47D9-A343-808DA14C3D40}"/>
            </a:ext>
          </a:extLst>
        </xdr:cNvPr>
        <xdr:cNvPicPr preferRelativeResize="0"/>
      </xdr:nvPicPr>
      <xdr:blipFill>
        <a:blip xmlns:r="http://schemas.openxmlformats.org/officeDocument/2006/relationships" r:embed="rId1" cstate="print"/>
        <a:stretch>
          <a:fillRect/>
        </a:stretch>
      </xdr:blipFill>
      <xdr:spPr>
        <a:xfrm>
          <a:off x="2458825" y="895547"/>
          <a:ext cx="317664" cy="337793"/>
        </a:xfrm>
        <a:prstGeom prst="rect">
          <a:avLst/>
        </a:prstGeom>
        <a:noFill/>
      </xdr:spPr>
    </xdr:pic>
    <xdr:clientData fLocksWithSheet="0"/>
  </xdr:oneCellAnchor>
  <xdr:oneCellAnchor>
    <xdr:from>
      <xdr:col>21</xdr:col>
      <xdr:colOff>227814</xdr:colOff>
      <xdr:row>5</xdr:row>
      <xdr:rowOff>11194</xdr:rowOff>
    </xdr:from>
    <xdr:ext cx="397399" cy="389446"/>
    <xdr:pic>
      <xdr:nvPicPr>
        <xdr:cNvPr id="16" name="image6.png">
          <a:extLst>
            <a:ext uri="{FF2B5EF4-FFF2-40B4-BE49-F238E27FC236}">
              <a16:creationId xmlns:a16="http://schemas.microsoft.com/office/drawing/2014/main" id="{20AE84AB-8EC6-4E37-A3D0-7745AD2E3FD2}"/>
            </a:ext>
          </a:extLst>
        </xdr:cNvPr>
        <xdr:cNvPicPr preferRelativeResize="0"/>
      </xdr:nvPicPr>
      <xdr:blipFill>
        <a:blip xmlns:r="http://schemas.openxmlformats.org/officeDocument/2006/relationships" r:embed="rId2" cstate="print"/>
        <a:stretch>
          <a:fillRect/>
        </a:stretch>
      </xdr:blipFill>
      <xdr:spPr>
        <a:xfrm>
          <a:off x="13920247" y="953874"/>
          <a:ext cx="397399" cy="389446"/>
        </a:xfrm>
        <a:prstGeom prst="rect">
          <a:avLst/>
        </a:prstGeom>
        <a:noFill/>
      </xdr:spPr>
    </xdr:pic>
    <xdr:clientData fLocksWithSheet="0"/>
  </xdr:oneCellAnchor>
  <xdr:oneCellAnchor>
    <xdr:from>
      <xdr:col>12</xdr:col>
      <xdr:colOff>314228</xdr:colOff>
      <xdr:row>5</xdr:row>
      <xdr:rowOff>26907</xdr:rowOff>
    </xdr:from>
    <xdr:ext cx="434812" cy="232331"/>
    <xdr:pic>
      <xdr:nvPicPr>
        <xdr:cNvPr id="17" name="image5.png">
          <a:extLst>
            <a:ext uri="{FF2B5EF4-FFF2-40B4-BE49-F238E27FC236}">
              <a16:creationId xmlns:a16="http://schemas.microsoft.com/office/drawing/2014/main" id="{5939639A-734B-4160-9383-D5D074DE6F3E}"/>
            </a:ext>
          </a:extLst>
        </xdr:cNvPr>
        <xdr:cNvPicPr preferRelativeResize="0"/>
      </xdr:nvPicPr>
      <xdr:blipFill>
        <a:blip xmlns:r="http://schemas.openxmlformats.org/officeDocument/2006/relationships" r:embed="rId3" cstate="print"/>
        <a:stretch>
          <a:fillRect/>
        </a:stretch>
      </xdr:blipFill>
      <xdr:spPr>
        <a:xfrm>
          <a:off x="8138475" y="969587"/>
          <a:ext cx="434812" cy="232331"/>
        </a:xfrm>
        <a:prstGeom prst="rect">
          <a:avLst/>
        </a:prstGeom>
        <a:noFill/>
      </xdr:spPr>
    </xdr:pic>
    <xdr:clientData fLocksWithSheet="0"/>
  </xdr:oneCellAnchor>
  <xdr:oneCellAnchor>
    <xdr:from>
      <xdr:col>7</xdr:col>
      <xdr:colOff>628454</xdr:colOff>
      <xdr:row>5</xdr:row>
      <xdr:rowOff>26908</xdr:rowOff>
    </xdr:from>
    <xdr:ext cx="501488" cy="342310"/>
    <xdr:pic>
      <xdr:nvPicPr>
        <xdr:cNvPr id="18" name="image7.png">
          <a:extLst>
            <a:ext uri="{FF2B5EF4-FFF2-40B4-BE49-F238E27FC236}">
              <a16:creationId xmlns:a16="http://schemas.microsoft.com/office/drawing/2014/main" id="{5FC48796-317A-47E8-9DFD-DCB89D88D4B8}"/>
            </a:ext>
          </a:extLst>
        </xdr:cNvPr>
        <xdr:cNvPicPr preferRelativeResize="0"/>
      </xdr:nvPicPr>
      <xdr:blipFill>
        <a:blip xmlns:r="http://schemas.openxmlformats.org/officeDocument/2006/relationships" r:embed="rId4" cstate="print"/>
        <a:stretch>
          <a:fillRect/>
        </a:stretch>
      </xdr:blipFill>
      <xdr:spPr>
        <a:xfrm>
          <a:off x="5192598" y="969588"/>
          <a:ext cx="501488" cy="342310"/>
        </a:xfrm>
        <a:prstGeom prst="rect">
          <a:avLst/>
        </a:prstGeom>
        <a:noFill/>
      </xdr:spPr>
    </xdr:pic>
    <xdr:clientData fLocksWithSheet="0"/>
  </xdr:oneCellAnchor>
  <xdr:oneCellAnchor>
    <xdr:from>
      <xdr:col>17</xdr:col>
      <xdr:colOff>23567</xdr:colOff>
      <xdr:row>5</xdr:row>
      <xdr:rowOff>19051</xdr:rowOff>
    </xdr:from>
    <xdr:ext cx="366958" cy="255898"/>
    <xdr:pic>
      <xdr:nvPicPr>
        <xdr:cNvPr id="19" name="image2.png">
          <a:extLst>
            <a:ext uri="{FF2B5EF4-FFF2-40B4-BE49-F238E27FC236}">
              <a16:creationId xmlns:a16="http://schemas.microsoft.com/office/drawing/2014/main" id="{622331AD-3A51-4C10-83E0-313BBB684EC8}"/>
            </a:ext>
          </a:extLst>
        </xdr:cNvPr>
        <xdr:cNvPicPr preferRelativeResize="0"/>
      </xdr:nvPicPr>
      <xdr:blipFill>
        <a:blip xmlns:r="http://schemas.openxmlformats.org/officeDocument/2006/relationships" r:embed="rId5" cstate="print"/>
        <a:stretch>
          <a:fillRect/>
        </a:stretch>
      </xdr:blipFill>
      <xdr:spPr>
        <a:xfrm>
          <a:off x="11107918" y="961731"/>
          <a:ext cx="366958" cy="255898"/>
        </a:xfrm>
        <a:prstGeom prst="rect">
          <a:avLst/>
        </a:prstGeom>
        <a:noFill/>
      </xdr:spPr>
    </xdr:pic>
    <xdr:clientData fLocksWithSheet="0"/>
  </xdr:oneCellAnchor>
  <xdr:twoCellAnchor>
    <xdr:from>
      <xdr:col>0</xdr:col>
      <xdr:colOff>329937</xdr:colOff>
      <xdr:row>0</xdr:row>
      <xdr:rowOff>94267</xdr:rowOff>
    </xdr:from>
    <xdr:to>
      <xdr:col>12</xdr:col>
      <xdr:colOff>149257</xdr:colOff>
      <xdr:row>3</xdr:row>
      <xdr:rowOff>125691</xdr:rowOff>
    </xdr:to>
    <xdr:sp macro="" textlink="">
      <xdr:nvSpPr>
        <xdr:cNvPr id="20" name="TextBox 19">
          <a:extLst>
            <a:ext uri="{FF2B5EF4-FFF2-40B4-BE49-F238E27FC236}">
              <a16:creationId xmlns:a16="http://schemas.microsoft.com/office/drawing/2014/main" id="{FE45D029-AF85-43F3-C36D-C50157891E25}"/>
            </a:ext>
          </a:extLst>
        </xdr:cNvPr>
        <xdr:cNvSpPr txBox="1"/>
      </xdr:nvSpPr>
      <xdr:spPr>
        <a:xfrm>
          <a:off x="329937" y="94267"/>
          <a:ext cx="7643567" cy="597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solidFill>
                <a:srgbClr val="002060"/>
              </a:solidFill>
              <a:latin typeface="LATO BLACK" panose="020F0502020204030203" pitchFamily="34" charset="0"/>
              <a:ea typeface="LATO BLACK" panose="020F0502020204030203" pitchFamily="34" charset="0"/>
              <a:cs typeface="LATO BLACK" panose="020F0502020204030203" pitchFamily="34" charset="0"/>
            </a:rPr>
            <a:t>HR</a:t>
          </a:r>
          <a:r>
            <a:rPr lang="en-IN" sz="3200">
              <a:latin typeface="LATO BLACK" panose="020F0502020204030203" pitchFamily="34" charset="0"/>
              <a:ea typeface="LATO BLACK" panose="020F0502020204030203" pitchFamily="34" charset="0"/>
              <a:cs typeface="LATO BLACK" panose="020F0502020204030203" pitchFamily="34" charset="0"/>
            </a:rPr>
            <a:t> </a:t>
          </a:r>
          <a:r>
            <a:rPr lang="en-IN" sz="3200">
              <a:solidFill>
                <a:srgbClr val="002060"/>
              </a:solidFill>
              <a:latin typeface="LATO BLACK" panose="020F0502020204030203" pitchFamily="34" charset="0"/>
              <a:ea typeface="LATO BLACK" panose="020F0502020204030203" pitchFamily="34" charset="0"/>
              <a:cs typeface="LATO BLACK" panose="020F0502020204030203" pitchFamily="34" charset="0"/>
            </a:rPr>
            <a:t>ANALYTICS</a:t>
          </a:r>
          <a:r>
            <a:rPr lang="en-IN" sz="3200">
              <a:latin typeface="LATO BLACK" panose="020F0502020204030203" pitchFamily="34" charset="0"/>
              <a:ea typeface="LATO BLACK" panose="020F0502020204030203" pitchFamily="34" charset="0"/>
              <a:cs typeface="LATO BLACK" panose="020F0502020204030203" pitchFamily="34" charset="0"/>
            </a:rPr>
            <a:t> </a:t>
          </a:r>
          <a:r>
            <a:rPr lang="en-IN" sz="3200">
              <a:solidFill>
                <a:srgbClr val="002060"/>
              </a:solidFill>
              <a:latin typeface="LATO BLACK" panose="020F0502020204030203" pitchFamily="34" charset="0"/>
              <a:ea typeface="LATO BLACK" panose="020F0502020204030203" pitchFamily="34" charset="0"/>
              <a:cs typeface="LATO BLACK" panose="020F0502020204030203" pitchFamily="34" charset="0"/>
            </a:rPr>
            <a:t>DASHBOARD</a:t>
          </a:r>
        </a:p>
      </xdr:txBody>
    </xdr:sp>
    <xdr:clientData/>
  </xdr:twoCellAnchor>
  <xdr:oneCellAnchor>
    <xdr:from>
      <xdr:col>0</xdr:col>
      <xdr:colOff>345649</xdr:colOff>
      <xdr:row>0</xdr:row>
      <xdr:rowOff>160453</xdr:rowOff>
    </xdr:from>
    <xdr:ext cx="503647" cy="499423"/>
    <xdr:pic>
      <xdr:nvPicPr>
        <xdr:cNvPr id="21" name="image1.png">
          <a:extLst>
            <a:ext uri="{FF2B5EF4-FFF2-40B4-BE49-F238E27FC236}">
              <a16:creationId xmlns:a16="http://schemas.microsoft.com/office/drawing/2014/main" id="{2599CDA5-A5B2-4DE9-963E-31B9F18DFDE9}"/>
            </a:ext>
          </a:extLst>
        </xdr:cNvPr>
        <xdr:cNvPicPr preferRelativeResize="0"/>
      </xdr:nvPicPr>
      <xdr:blipFill>
        <a:blip xmlns:r="http://schemas.openxmlformats.org/officeDocument/2006/relationships" r:embed="rId6" cstate="print"/>
        <a:stretch>
          <a:fillRect/>
        </a:stretch>
      </xdr:blipFill>
      <xdr:spPr>
        <a:xfrm>
          <a:off x="345649" y="160453"/>
          <a:ext cx="503647" cy="499423"/>
        </a:xfrm>
        <a:prstGeom prst="rect">
          <a:avLst/>
        </a:prstGeom>
        <a:noFill/>
      </xdr:spPr>
    </xdr:pic>
    <xdr:clientData fLocksWithSheet="0"/>
  </xdr:oneCellAnchor>
  <xdr:oneCellAnchor>
    <xdr:from>
      <xdr:col>13</xdr:col>
      <xdr:colOff>274948</xdr:colOff>
      <xdr:row>0</xdr:row>
      <xdr:rowOff>157113</xdr:rowOff>
    </xdr:from>
    <xdr:ext cx="653198" cy="518669"/>
    <xdr:pic>
      <xdr:nvPicPr>
        <xdr:cNvPr id="22" name="image3.png">
          <a:extLst>
            <a:ext uri="{FF2B5EF4-FFF2-40B4-BE49-F238E27FC236}">
              <a16:creationId xmlns:a16="http://schemas.microsoft.com/office/drawing/2014/main" id="{07807D24-72D6-40C0-9BB2-49FA7D20992C}"/>
            </a:ext>
          </a:extLst>
        </xdr:cNvPr>
        <xdr:cNvPicPr preferRelativeResize="0"/>
      </xdr:nvPicPr>
      <xdr:blipFill>
        <a:blip xmlns:r="http://schemas.openxmlformats.org/officeDocument/2006/relationships" r:embed="rId7" cstate="print"/>
        <a:stretch>
          <a:fillRect/>
        </a:stretch>
      </xdr:blipFill>
      <xdr:spPr>
        <a:xfrm>
          <a:off x="8751216" y="157113"/>
          <a:ext cx="653198" cy="518669"/>
        </a:xfrm>
        <a:prstGeom prst="rect">
          <a:avLst/>
        </a:prstGeom>
        <a:noFill/>
      </xdr:spPr>
    </xdr:pic>
    <xdr:clientData fLocksWithSheet="0"/>
  </xdr:oneCellAnchor>
  <xdr:twoCellAnchor>
    <xdr:from>
      <xdr:col>14</xdr:col>
      <xdr:colOff>337793</xdr:colOff>
      <xdr:row>0</xdr:row>
      <xdr:rowOff>94267</xdr:rowOff>
    </xdr:from>
    <xdr:to>
      <xdr:col>17</xdr:col>
      <xdr:colOff>259237</xdr:colOff>
      <xdr:row>3</xdr:row>
      <xdr:rowOff>180681</xdr:rowOff>
    </xdr:to>
    <xdr:sp macro="" textlink="">
      <xdr:nvSpPr>
        <xdr:cNvPr id="23" name="TextBox 22">
          <a:extLst>
            <a:ext uri="{FF2B5EF4-FFF2-40B4-BE49-F238E27FC236}">
              <a16:creationId xmlns:a16="http://schemas.microsoft.com/office/drawing/2014/main" id="{BACA795C-CAD3-B685-4BD2-309880891CD2}"/>
            </a:ext>
          </a:extLst>
        </xdr:cNvPr>
        <xdr:cNvSpPr txBox="1"/>
      </xdr:nvSpPr>
      <xdr:spPr>
        <a:xfrm>
          <a:off x="9466082" y="94267"/>
          <a:ext cx="1877506" cy="652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a:solidFill>
                <a:srgbClr val="A50021"/>
              </a:solidFill>
              <a:latin typeface="LATO BLACK" panose="020F0502020204030203" pitchFamily="34" charset="0"/>
              <a:ea typeface="LATO BLACK" panose="020F0502020204030203" pitchFamily="34" charset="0"/>
              <a:cs typeface="LATO BLACK" panose="020F0502020204030203" pitchFamily="34" charset="0"/>
            </a:rPr>
            <a:t>          JOB </a:t>
          </a:r>
        </a:p>
        <a:p>
          <a:pPr algn="l"/>
          <a:r>
            <a:rPr lang="en-IN" sz="1200">
              <a:solidFill>
                <a:srgbClr val="A50021"/>
              </a:solidFill>
              <a:latin typeface="LATO BLACK" panose="020F0502020204030203" pitchFamily="34" charset="0"/>
              <a:ea typeface="LATO BLACK" panose="020F0502020204030203" pitchFamily="34" charset="0"/>
              <a:cs typeface="LATO BLACK" panose="020F0502020204030203" pitchFamily="34" charset="0"/>
            </a:rPr>
            <a:t>SATISFACTION </a:t>
          </a:r>
        </a:p>
        <a:p>
          <a:pPr algn="l"/>
          <a:r>
            <a:rPr lang="en-IN" sz="1200">
              <a:solidFill>
                <a:srgbClr val="A50021"/>
              </a:solidFill>
              <a:latin typeface="LATO BLACK" panose="020F0502020204030203" pitchFamily="34" charset="0"/>
              <a:ea typeface="LATO BLACK" panose="020F0502020204030203" pitchFamily="34" charset="0"/>
              <a:cs typeface="LATO BLACK" panose="020F0502020204030203" pitchFamily="34" charset="0"/>
            </a:rPr>
            <a:t>       RATING</a:t>
          </a:r>
        </a:p>
      </xdr:txBody>
    </xdr:sp>
    <xdr:clientData/>
  </xdr:twoCellAnchor>
  <xdr:twoCellAnchor>
    <xdr:from>
      <xdr:col>16</xdr:col>
      <xdr:colOff>47133</xdr:colOff>
      <xdr:row>0</xdr:row>
      <xdr:rowOff>39276</xdr:rowOff>
    </xdr:from>
    <xdr:to>
      <xdr:col>17</xdr:col>
      <xdr:colOff>604019</xdr:colOff>
      <xdr:row>4</xdr:row>
      <xdr:rowOff>109979</xdr:rowOff>
    </xdr:to>
    <xdr:graphicFrame macro="">
      <xdr:nvGraphicFramePr>
        <xdr:cNvPr id="24" name="Chart 23">
          <a:extLst>
            <a:ext uri="{FF2B5EF4-FFF2-40B4-BE49-F238E27FC236}">
              <a16:creationId xmlns:a16="http://schemas.microsoft.com/office/drawing/2014/main" id="{CB5668F6-3CBC-49CB-A101-8A233D221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463483</xdr:colOff>
      <xdr:row>1</xdr:row>
      <xdr:rowOff>125691</xdr:rowOff>
    </xdr:from>
    <xdr:to>
      <xdr:col>17</xdr:col>
      <xdr:colOff>219957</xdr:colOff>
      <xdr:row>2</xdr:row>
      <xdr:rowOff>172825</xdr:rowOff>
    </xdr:to>
    <xdr:sp macro="" textlink="RATING!$B$7">
      <xdr:nvSpPr>
        <xdr:cNvPr id="25" name="TextBox 24">
          <a:extLst>
            <a:ext uri="{FF2B5EF4-FFF2-40B4-BE49-F238E27FC236}">
              <a16:creationId xmlns:a16="http://schemas.microsoft.com/office/drawing/2014/main" id="{CDAF9276-5F0C-AF22-A644-D069BBC4B1A6}"/>
            </a:ext>
          </a:extLst>
        </xdr:cNvPr>
        <xdr:cNvSpPr txBox="1"/>
      </xdr:nvSpPr>
      <xdr:spPr>
        <a:xfrm>
          <a:off x="10895813" y="314227"/>
          <a:ext cx="408495" cy="235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679F5E1-5B81-4802-B262-3ECBAC9A2F5B}" type="TxLink">
            <a:rPr lang="en-US" sz="12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2.6</a:t>
          </a:fld>
          <a:endParaRPr lang="en-IN" sz="1100" b="1">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17</xdr:col>
      <xdr:colOff>377068</xdr:colOff>
      <xdr:row>0</xdr:row>
      <xdr:rowOff>62845</xdr:rowOff>
    </xdr:from>
    <xdr:to>
      <xdr:col>21</xdr:col>
      <xdr:colOff>365089</xdr:colOff>
      <xdr:row>4</xdr:row>
      <xdr:rowOff>7856</xdr:rowOff>
    </xdr:to>
    <xdr:graphicFrame macro="">
      <xdr:nvGraphicFramePr>
        <xdr:cNvPr id="27" name="Chart 26">
          <a:extLst>
            <a:ext uri="{FF2B5EF4-FFF2-40B4-BE49-F238E27FC236}">
              <a16:creationId xmlns:a16="http://schemas.microsoft.com/office/drawing/2014/main" id="{C1CD50DA-0072-4B31-8875-130F6B360D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518475</xdr:colOff>
      <xdr:row>0</xdr:row>
      <xdr:rowOff>172826</xdr:rowOff>
    </xdr:from>
    <xdr:to>
      <xdr:col>21</xdr:col>
      <xdr:colOff>479197</xdr:colOff>
      <xdr:row>3</xdr:row>
      <xdr:rowOff>167148</xdr:rowOff>
    </xdr:to>
    <xdr:sp macro="" textlink="">
      <xdr:nvSpPr>
        <xdr:cNvPr id="26" name="Freeform: Shape 25">
          <a:extLst>
            <a:ext uri="{FF2B5EF4-FFF2-40B4-BE49-F238E27FC236}">
              <a16:creationId xmlns:a16="http://schemas.microsoft.com/office/drawing/2014/main" id="{DD16D87E-89EB-B2E8-17F6-60C659F58263}"/>
            </a:ext>
          </a:extLst>
        </xdr:cNvPr>
        <xdr:cNvSpPr/>
      </xdr:nvSpPr>
      <xdr:spPr>
        <a:xfrm>
          <a:off x="11602826" y="172826"/>
          <a:ext cx="2568804" cy="559930"/>
        </a:xfrm>
        <a:custGeom>
          <a:avLst/>
          <a:gdLst>
            <a:gd name="csX0" fmla="*/ 1745225 w 2256931"/>
            <a:gd name="csY0" fmla="*/ 82825 h 556591"/>
            <a:gd name="csX1" fmla="*/ 1704606 w 2256931"/>
            <a:gd name="csY1" fmla="*/ 222721 h 556591"/>
            <a:gd name="csX2" fmla="*/ 1573160 w 2256931"/>
            <a:gd name="csY2" fmla="*/ 222720 h 556591"/>
            <a:gd name="csX3" fmla="*/ 1679503 w 2256931"/>
            <a:gd name="csY3" fmla="*/ 309180 h 556591"/>
            <a:gd name="csX4" fmla="*/ 1638883 w 2256931"/>
            <a:gd name="csY4" fmla="*/ 449075 h 556591"/>
            <a:gd name="csX5" fmla="*/ 1745225 w 2256931"/>
            <a:gd name="csY5" fmla="*/ 362614 h 556591"/>
            <a:gd name="csX6" fmla="*/ 1851566 w 2256931"/>
            <a:gd name="csY6" fmla="*/ 449075 h 556591"/>
            <a:gd name="csX7" fmla="*/ 1810946 w 2256931"/>
            <a:gd name="csY7" fmla="*/ 309180 h 556591"/>
            <a:gd name="csX8" fmla="*/ 1917289 w 2256931"/>
            <a:gd name="csY8" fmla="*/ 222720 h 556591"/>
            <a:gd name="csX9" fmla="*/ 1785843 w 2256931"/>
            <a:gd name="csY9" fmla="*/ 222721 h 556591"/>
            <a:gd name="csX10" fmla="*/ 1347018 w 2256931"/>
            <a:gd name="csY10" fmla="*/ 82825 h 556591"/>
            <a:gd name="csX11" fmla="*/ 1306400 w 2256931"/>
            <a:gd name="csY11" fmla="*/ 222721 h 556591"/>
            <a:gd name="csX12" fmla="*/ 1174953 w 2256931"/>
            <a:gd name="csY12" fmla="*/ 222720 h 556591"/>
            <a:gd name="csX13" fmla="*/ 1281296 w 2256931"/>
            <a:gd name="csY13" fmla="*/ 309180 h 556591"/>
            <a:gd name="csX14" fmla="*/ 1240676 w 2256931"/>
            <a:gd name="csY14" fmla="*/ 449076 h 556591"/>
            <a:gd name="csX15" fmla="*/ 1347018 w 2256931"/>
            <a:gd name="csY15" fmla="*/ 362615 h 556591"/>
            <a:gd name="csX16" fmla="*/ 1453360 w 2256931"/>
            <a:gd name="csY16" fmla="*/ 449076 h 556591"/>
            <a:gd name="csX17" fmla="*/ 1412740 w 2256931"/>
            <a:gd name="csY17" fmla="*/ 309180 h 556591"/>
            <a:gd name="csX18" fmla="*/ 1519083 w 2256931"/>
            <a:gd name="csY18" fmla="*/ 222720 h 556591"/>
            <a:gd name="csX19" fmla="*/ 1387636 w 2256931"/>
            <a:gd name="csY19" fmla="*/ 222721 h 556591"/>
            <a:gd name="csX20" fmla="*/ 904565 w 2256931"/>
            <a:gd name="csY20" fmla="*/ 82825 h 556591"/>
            <a:gd name="csX21" fmla="*/ 853502 w 2256931"/>
            <a:gd name="csY21" fmla="*/ 222721 h 556591"/>
            <a:gd name="csX22" fmla="*/ 688254 w 2256931"/>
            <a:gd name="csY22" fmla="*/ 222720 h 556591"/>
            <a:gd name="csX23" fmla="*/ 821943 w 2256931"/>
            <a:gd name="csY23" fmla="*/ 309180 h 556591"/>
            <a:gd name="csX24" fmla="*/ 770878 w 2256931"/>
            <a:gd name="csY24" fmla="*/ 449076 h 556591"/>
            <a:gd name="csX25" fmla="*/ 904565 w 2256931"/>
            <a:gd name="csY25" fmla="*/ 362615 h 556591"/>
            <a:gd name="csX26" fmla="*/ 1038252 w 2256931"/>
            <a:gd name="csY26" fmla="*/ 449076 h 556591"/>
            <a:gd name="csX27" fmla="*/ 987187 w 2256931"/>
            <a:gd name="csY27" fmla="*/ 309180 h 556591"/>
            <a:gd name="csX28" fmla="*/ 1120876 w 2256931"/>
            <a:gd name="csY28" fmla="*/ 222720 h 556591"/>
            <a:gd name="csX29" fmla="*/ 955628 w 2256931"/>
            <a:gd name="csY29" fmla="*/ 222721 h 556591"/>
            <a:gd name="csX30" fmla="*/ 417866 w 2256931"/>
            <a:gd name="csY30" fmla="*/ 82825 h 556591"/>
            <a:gd name="csX31" fmla="*/ 366803 w 2256931"/>
            <a:gd name="csY31" fmla="*/ 225067 h 556591"/>
            <a:gd name="csX32" fmla="*/ 201555 w 2256931"/>
            <a:gd name="csY32" fmla="*/ 225066 h 556591"/>
            <a:gd name="csX33" fmla="*/ 335244 w 2256931"/>
            <a:gd name="csY33" fmla="*/ 312976 h 556591"/>
            <a:gd name="csX34" fmla="*/ 284179 w 2256931"/>
            <a:gd name="csY34" fmla="*/ 455218 h 556591"/>
            <a:gd name="csX35" fmla="*/ 417866 w 2256931"/>
            <a:gd name="csY35" fmla="*/ 367307 h 556591"/>
            <a:gd name="csX36" fmla="*/ 551553 w 2256931"/>
            <a:gd name="csY36" fmla="*/ 455218 h 556591"/>
            <a:gd name="csX37" fmla="*/ 500488 w 2256931"/>
            <a:gd name="csY37" fmla="*/ 312976 h 556591"/>
            <a:gd name="csX38" fmla="*/ 634177 w 2256931"/>
            <a:gd name="csY38" fmla="*/ 225066 h 556591"/>
            <a:gd name="csX39" fmla="*/ 468929 w 2256931"/>
            <a:gd name="csY39" fmla="*/ 225067 h 556591"/>
            <a:gd name="csX40" fmla="*/ 0 w 2256931"/>
            <a:gd name="csY40" fmla="*/ 0 h 556591"/>
            <a:gd name="csX41" fmla="*/ 2256931 w 2256931"/>
            <a:gd name="csY41" fmla="*/ 0 h 556591"/>
            <a:gd name="csX42" fmla="*/ 2256931 w 2256931"/>
            <a:gd name="csY42" fmla="*/ 556591 h 556591"/>
            <a:gd name="csX43" fmla="*/ 0 w 2256931"/>
            <a:gd name="csY43" fmla="*/ 556591 h 55659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2256931" h="556591">
              <a:moveTo>
                <a:pt x="1745225" y="82825"/>
              </a:moveTo>
              <a:lnTo>
                <a:pt x="1704606" y="222721"/>
              </a:lnTo>
              <a:lnTo>
                <a:pt x="1573160" y="222720"/>
              </a:lnTo>
              <a:lnTo>
                <a:pt x="1679503" y="309180"/>
              </a:lnTo>
              <a:lnTo>
                <a:pt x="1638883" y="449075"/>
              </a:lnTo>
              <a:lnTo>
                <a:pt x="1745225" y="362614"/>
              </a:lnTo>
              <a:lnTo>
                <a:pt x="1851566" y="449075"/>
              </a:lnTo>
              <a:lnTo>
                <a:pt x="1810946" y="309180"/>
              </a:lnTo>
              <a:lnTo>
                <a:pt x="1917289" y="222720"/>
              </a:lnTo>
              <a:lnTo>
                <a:pt x="1785843" y="222721"/>
              </a:lnTo>
              <a:close/>
              <a:moveTo>
                <a:pt x="1347018" y="82825"/>
              </a:moveTo>
              <a:lnTo>
                <a:pt x="1306400" y="222721"/>
              </a:lnTo>
              <a:lnTo>
                <a:pt x="1174953" y="222720"/>
              </a:lnTo>
              <a:lnTo>
                <a:pt x="1281296" y="309180"/>
              </a:lnTo>
              <a:lnTo>
                <a:pt x="1240676" y="449076"/>
              </a:lnTo>
              <a:lnTo>
                <a:pt x="1347018" y="362615"/>
              </a:lnTo>
              <a:lnTo>
                <a:pt x="1453360" y="449076"/>
              </a:lnTo>
              <a:lnTo>
                <a:pt x="1412740" y="309180"/>
              </a:lnTo>
              <a:lnTo>
                <a:pt x="1519083" y="222720"/>
              </a:lnTo>
              <a:lnTo>
                <a:pt x="1387636" y="222721"/>
              </a:lnTo>
              <a:close/>
              <a:moveTo>
                <a:pt x="904565" y="82825"/>
              </a:moveTo>
              <a:lnTo>
                <a:pt x="853502" y="222721"/>
              </a:lnTo>
              <a:lnTo>
                <a:pt x="688254" y="222720"/>
              </a:lnTo>
              <a:lnTo>
                <a:pt x="821943" y="309180"/>
              </a:lnTo>
              <a:lnTo>
                <a:pt x="770878" y="449076"/>
              </a:lnTo>
              <a:lnTo>
                <a:pt x="904565" y="362615"/>
              </a:lnTo>
              <a:lnTo>
                <a:pt x="1038252" y="449076"/>
              </a:lnTo>
              <a:lnTo>
                <a:pt x="987187" y="309180"/>
              </a:lnTo>
              <a:lnTo>
                <a:pt x="1120876" y="222720"/>
              </a:lnTo>
              <a:lnTo>
                <a:pt x="955628" y="222721"/>
              </a:lnTo>
              <a:close/>
              <a:moveTo>
                <a:pt x="417866" y="82825"/>
              </a:moveTo>
              <a:lnTo>
                <a:pt x="366803" y="225067"/>
              </a:lnTo>
              <a:lnTo>
                <a:pt x="201555" y="225066"/>
              </a:lnTo>
              <a:lnTo>
                <a:pt x="335244" y="312976"/>
              </a:lnTo>
              <a:lnTo>
                <a:pt x="284179" y="455218"/>
              </a:lnTo>
              <a:lnTo>
                <a:pt x="417866" y="367307"/>
              </a:lnTo>
              <a:lnTo>
                <a:pt x="551553" y="455218"/>
              </a:lnTo>
              <a:lnTo>
                <a:pt x="500488" y="312976"/>
              </a:lnTo>
              <a:lnTo>
                <a:pt x="634177" y="225066"/>
              </a:lnTo>
              <a:lnTo>
                <a:pt x="468929" y="225067"/>
              </a:lnTo>
              <a:close/>
              <a:moveTo>
                <a:pt x="0" y="0"/>
              </a:moveTo>
              <a:lnTo>
                <a:pt x="2256931" y="0"/>
              </a:lnTo>
              <a:lnTo>
                <a:pt x="2256931" y="556591"/>
              </a:lnTo>
              <a:lnTo>
                <a:pt x="0" y="556591"/>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227816</xdr:colOff>
      <xdr:row>14</xdr:row>
      <xdr:rowOff>23567</xdr:rowOff>
    </xdr:from>
    <xdr:to>
      <xdr:col>3</xdr:col>
      <xdr:colOff>141402</xdr:colOff>
      <xdr:row>21</xdr:row>
      <xdr:rowOff>67166</xdr:rowOff>
    </xdr:to>
    <xdr:graphicFrame macro="">
      <xdr:nvGraphicFramePr>
        <xdr:cNvPr id="28" name="Chart 27">
          <a:extLst>
            <a:ext uri="{FF2B5EF4-FFF2-40B4-BE49-F238E27FC236}">
              <a16:creationId xmlns:a16="http://schemas.microsoft.com/office/drawing/2014/main" id="{DC362220-7B72-4CBA-88B1-534107BA6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392784</xdr:colOff>
      <xdr:row>14</xdr:row>
      <xdr:rowOff>26907</xdr:rowOff>
    </xdr:from>
    <xdr:to>
      <xdr:col>6</xdr:col>
      <xdr:colOff>306370</xdr:colOff>
      <xdr:row>21</xdr:row>
      <xdr:rowOff>70506</xdr:rowOff>
    </xdr:to>
    <xdr:graphicFrame macro="">
      <xdr:nvGraphicFramePr>
        <xdr:cNvPr id="56" name="Chart 55">
          <a:extLst>
            <a:ext uri="{FF2B5EF4-FFF2-40B4-BE49-F238E27FC236}">
              <a16:creationId xmlns:a16="http://schemas.microsoft.com/office/drawing/2014/main" id="{7ACC7C5B-3B39-45B3-8336-0AA563EEF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31</xdr:col>
      <xdr:colOff>0</xdr:colOff>
      <xdr:row>27</xdr:row>
      <xdr:rowOff>0</xdr:rowOff>
    </xdr:from>
    <xdr:to>
      <xdr:col>32</xdr:col>
      <xdr:colOff>58132</xdr:colOff>
      <xdr:row>31</xdr:row>
      <xdr:rowOff>160255</xdr:rowOff>
    </xdr:to>
    <xdr:pic>
      <xdr:nvPicPr>
        <xdr:cNvPr id="60" name="Graphic 59" descr="Female Profile with solid fill">
          <a:extLst>
            <a:ext uri="{FF2B5EF4-FFF2-40B4-BE49-F238E27FC236}">
              <a16:creationId xmlns:a16="http://schemas.microsoft.com/office/drawing/2014/main" id="{199077FA-F88F-2714-0F1F-DDA65F8D5B9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1233876" y="5090474"/>
          <a:ext cx="914400" cy="914400"/>
        </a:xfrm>
        <a:prstGeom prst="rect">
          <a:avLst/>
        </a:prstGeom>
      </xdr:spPr>
    </xdr:pic>
    <xdr:clientData/>
  </xdr:twoCellAnchor>
  <xdr:twoCellAnchor editAs="oneCell">
    <xdr:from>
      <xdr:col>31</xdr:col>
      <xdr:colOff>0</xdr:colOff>
      <xdr:row>27</xdr:row>
      <xdr:rowOff>0</xdr:rowOff>
    </xdr:from>
    <xdr:to>
      <xdr:col>37</xdr:col>
      <xdr:colOff>520241</xdr:colOff>
      <xdr:row>53</xdr:row>
      <xdr:rowOff>12962</xdr:rowOff>
    </xdr:to>
    <xdr:pic>
      <xdr:nvPicPr>
        <xdr:cNvPr id="62" name="Picture 61">
          <a:extLst>
            <a:ext uri="{FF2B5EF4-FFF2-40B4-BE49-F238E27FC236}">
              <a16:creationId xmlns:a16="http://schemas.microsoft.com/office/drawing/2014/main" id="{1DF98540-45E2-289C-0641-B8C55B49FA8D}"/>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1233876" y="5090474"/>
          <a:ext cx="5657850" cy="4914900"/>
        </a:xfrm>
        <a:prstGeom prst="rect">
          <a:avLst/>
        </a:prstGeom>
      </xdr:spPr>
    </xdr:pic>
    <xdr:clientData/>
  </xdr:twoCellAnchor>
  <xdr:twoCellAnchor editAs="oneCell">
    <xdr:from>
      <xdr:col>31</xdr:col>
      <xdr:colOff>0</xdr:colOff>
      <xdr:row>27</xdr:row>
      <xdr:rowOff>0</xdr:rowOff>
    </xdr:from>
    <xdr:to>
      <xdr:col>32</xdr:col>
      <xdr:colOff>58132</xdr:colOff>
      <xdr:row>31</xdr:row>
      <xdr:rowOff>160255</xdr:rowOff>
    </xdr:to>
    <xdr:pic>
      <xdr:nvPicPr>
        <xdr:cNvPr id="64" name="Graphic 63" descr="Angel face outline with solid fill">
          <a:extLst>
            <a:ext uri="{FF2B5EF4-FFF2-40B4-BE49-F238E27FC236}">
              <a16:creationId xmlns:a16="http://schemas.microsoft.com/office/drawing/2014/main" id="{9C17752B-9400-60EA-CFD0-5010C28B844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1233876" y="5090474"/>
          <a:ext cx="914400" cy="914400"/>
        </a:xfrm>
        <a:prstGeom prst="rect">
          <a:avLst/>
        </a:prstGeom>
      </xdr:spPr>
    </xdr:pic>
    <xdr:clientData/>
  </xdr:twoCellAnchor>
  <xdr:twoCellAnchor editAs="oneCell">
    <xdr:from>
      <xdr:col>2</xdr:col>
      <xdr:colOff>23566</xdr:colOff>
      <xdr:row>15</xdr:row>
      <xdr:rowOff>149259</xdr:rowOff>
    </xdr:from>
    <xdr:to>
      <xdr:col>3</xdr:col>
      <xdr:colOff>285945</xdr:colOff>
      <xdr:row>20</xdr:row>
      <xdr:rowOff>120978</xdr:rowOff>
    </xdr:to>
    <xdr:pic>
      <xdr:nvPicPr>
        <xdr:cNvPr id="68" name="Graphic 67" descr="Female Profile with solid fill">
          <a:extLst>
            <a:ext uri="{FF2B5EF4-FFF2-40B4-BE49-F238E27FC236}">
              <a16:creationId xmlns:a16="http://schemas.microsoft.com/office/drawing/2014/main" id="{634F2C87-3882-68F9-D1EC-176AFD75418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327607" y="2977300"/>
          <a:ext cx="914400" cy="914400"/>
        </a:xfrm>
        <a:prstGeom prst="rect">
          <a:avLst/>
        </a:prstGeom>
      </xdr:spPr>
    </xdr:pic>
    <xdr:clientData/>
  </xdr:twoCellAnchor>
  <xdr:twoCellAnchor editAs="oneCell">
    <xdr:from>
      <xdr:col>3</xdr:col>
      <xdr:colOff>306371</xdr:colOff>
      <xdr:row>15</xdr:row>
      <xdr:rowOff>157114</xdr:rowOff>
    </xdr:from>
    <xdr:to>
      <xdr:col>4</xdr:col>
      <xdr:colOff>568751</xdr:colOff>
      <xdr:row>20</xdr:row>
      <xdr:rowOff>128833</xdr:rowOff>
    </xdr:to>
    <xdr:pic>
      <xdr:nvPicPr>
        <xdr:cNvPr id="70" name="Graphic 69" descr="Male profile with solid fill">
          <a:extLst>
            <a:ext uri="{FF2B5EF4-FFF2-40B4-BE49-F238E27FC236}">
              <a16:creationId xmlns:a16="http://schemas.microsoft.com/office/drawing/2014/main" id="{5B0FD7C1-FC13-6B70-5882-737ABB3C1DCD}"/>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262433" y="2985155"/>
          <a:ext cx="914400" cy="914400"/>
        </a:xfrm>
        <a:prstGeom prst="rect">
          <a:avLst/>
        </a:prstGeom>
      </xdr:spPr>
    </xdr:pic>
    <xdr:clientData/>
  </xdr:twoCellAnchor>
  <xdr:twoCellAnchor>
    <xdr:from>
      <xdr:col>10</xdr:col>
      <xdr:colOff>0</xdr:colOff>
      <xdr:row>58</xdr:row>
      <xdr:rowOff>0</xdr:rowOff>
    </xdr:from>
    <xdr:to>
      <xdr:col>11</xdr:col>
      <xdr:colOff>106680</xdr:colOff>
      <xdr:row>61</xdr:row>
      <xdr:rowOff>0</xdr:rowOff>
    </xdr:to>
    <xdr:sp macro="" textlink="">
      <xdr:nvSpPr>
        <xdr:cNvPr id="6145" name="Text Box 1">
          <a:extLst>
            <a:ext uri="{FF2B5EF4-FFF2-40B4-BE49-F238E27FC236}">
              <a16:creationId xmlns:a16="http://schemas.microsoft.com/office/drawing/2014/main" id="{973D40A0-8C4C-D49C-7A13-E6FAA45EBB7C}"/>
            </a:ext>
          </a:extLst>
        </xdr:cNvPr>
        <xdr:cNvSpPr txBox="1">
          <a:spLocks noChangeArrowheads="1"/>
        </xdr:cNvSpPr>
      </xdr:nvSpPr>
      <xdr:spPr bwMode="auto">
        <a:xfrm>
          <a:off x="6553200" y="11049000"/>
          <a:ext cx="762000" cy="57150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200" b="0" i="0" u="none" strike="noStrike" baseline="0">
              <a:solidFill>
                <a:srgbClr val="000000"/>
              </a:solidFill>
              <a:latin typeface="Calibri"/>
              <a:ea typeface="Calibri"/>
              <a:cs typeface="Calibri"/>
            </a:rPr>
            <a:t>insert into customers  values ('101','ram','kapoor','ram@gmail.com ','1','male');</a:t>
          </a:r>
        </a:p>
      </xdr:txBody>
    </xdr:sp>
    <xdr:clientData/>
  </xdr:twoCellAnchor>
  <xdr:twoCellAnchor>
    <xdr:from>
      <xdr:col>10</xdr:col>
      <xdr:colOff>0</xdr:colOff>
      <xdr:row>58</xdr:row>
      <xdr:rowOff>0</xdr:rowOff>
    </xdr:from>
    <xdr:to>
      <xdr:col>11</xdr:col>
      <xdr:colOff>106680</xdr:colOff>
      <xdr:row>61</xdr:row>
      <xdr:rowOff>0</xdr:rowOff>
    </xdr:to>
    <xdr:sp macro="" textlink="">
      <xdr:nvSpPr>
        <xdr:cNvPr id="6146" name="Text Box 2">
          <a:extLst>
            <a:ext uri="{FF2B5EF4-FFF2-40B4-BE49-F238E27FC236}">
              <a16:creationId xmlns:a16="http://schemas.microsoft.com/office/drawing/2014/main" id="{95610330-7013-DBBB-9CE8-525C7C663728}"/>
            </a:ext>
          </a:extLst>
        </xdr:cNvPr>
        <xdr:cNvSpPr txBox="1">
          <a:spLocks noChangeArrowheads="1"/>
        </xdr:cNvSpPr>
      </xdr:nvSpPr>
      <xdr:spPr bwMode="auto">
        <a:xfrm>
          <a:off x="6553200" y="11049000"/>
          <a:ext cx="762000" cy="57150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endParaRPr lang="en-IN" sz="1200" b="0" i="0" u="none" strike="noStrike" baseline="0">
            <a:solidFill>
              <a:srgbClr val="000000"/>
            </a:solidFill>
            <a:latin typeface="Calibri"/>
            <a:ea typeface="Calibri"/>
            <a:cs typeface="Calibri"/>
          </a:endParaRPr>
        </a:p>
      </xdr:txBody>
    </xdr:sp>
    <xdr:clientData/>
  </xdr:twoCellAnchor>
  <xdr:twoCellAnchor>
    <xdr:from>
      <xdr:col>0</xdr:col>
      <xdr:colOff>455629</xdr:colOff>
      <xdr:row>17</xdr:row>
      <xdr:rowOff>39278</xdr:rowOff>
    </xdr:from>
    <xdr:to>
      <xdr:col>1</xdr:col>
      <xdr:colOff>447774</xdr:colOff>
      <xdr:row>19</xdr:row>
      <xdr:rowOff>3338</xdr:rowOff>
    </xdr:to>
    <xdr:sp macro="" textlink="GENDER!$B$9">
      <xdr:nvSpPr>
        <xdr:cNvPr id="71" name="TextBox 70">
          <a:extLst>
            <a:ext uri="{FF2B5EF4-FFF2-40B4-BE49-F238E27FC236}">
              <a16:creationId xmlns:a16="http://schemas.microsoft.com/office/drawing/2014/main" id="{79360DC4-CAAA-4A47-866A-10DF3080110E}"/>
            </a:ext>
          </a:extLst>
        </xdr:cNvPr>
        <xdr:cNvSpPr txBox="1"/>
      </xdr:nvSpPr>
      <xdr:spPr>
        <a:xfrm>
          <a:off x="455629" y="3244391"/>
          <a:ext cx="644166" cy="341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5BBA98-04F2-44ED-AAAC-F6C0329410FA}" type="TxLink">
            <a:rPr lang="en-US" sz="1400" b="1"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588</a:t>
          </a:fld>
          <a:endParaRPr lang="en-IN" sz="1200" b="1">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5</xdr:col>
      <xdr:colOff>70702</xdr:colOff>
      <xdr:row>16</xdr:row>
      <xdr:rowOff>160453</xdr:rowOff>
    </xdr:from>
    <xdr:to>
      <xdr:col>6</xdr:col>
      <xdr:colOff>62847</xdr:colOff>
      <xdr:row>18</xdr:row>
      <xdr:rowOff>124514</xdr:rowOff>
    </xdr:to>
    <xdr:sp macro="" textlink="GENDER!$B$10">
      <xdr:nvSpPr>
        <xdr:cNvPr id="72" name="TextBox 71">
          <a:extLst>
            <a:ext uri="{FF2B5EF4-FFF2-40B4-BE49-F238E27FC236}">
              <a16:creationId xmlns:a16="http://schemas.microsoft.com/office/drawing/2014/main" id="{1B1A6F26-3542-4035-88D7-E1A3FB6BA4F2}"/>
            </a:ext>
          </a:extLst>
        </xdr:cNvPr>
        <xdr:cNvSpPr txBox="1"/>
      </xdr:nvSpPr>
      <xdr:spPr>
        <a:xfrm>
          <a:off x="3330805" y="3177030"/>
          <a:ext cx="644166" cy="341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0D7E9AC-B97C-4FB6-8628-A26989887770}" type="TxLink">
            <a:rPr lang="en-US" sz="1400" b="1"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882</a:t>
          </a:fld>
          <a:endParaRPr lang="en-IN" sz="1400" b="1">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204247</xdr:colOff>
      <xdr:row>9</xdr:row>
      <xdr:rowOff>125690</xdr:rowOff>
    </xdr:from>
    <xdr:to>
      <xdr:col>5</xdr:col>
      <xdr:colOff>526330</xdr:colOff>
      <xdr:row>10</xdr:row>
      <xdr:rowOff>164969</xdr:rowOff>
    </xdr:to>
    <xdr:sp macro="" textlink="">
      <xdr:nvSpPr>
        <xdr:cNvPr id="73" name="TextBox 72">
          <a:extLst>
            <a:ext uri="{FF2B5EF4-FFF2-40B4-BE49-F238E27FC236}">
              <a16:creationId xmlns:a16="http://schemas.microsoft.com/office/drawing/2014/main" id="{E06E4F17-4A85-05DF-CCE2-1771FF57C9D9}"/>
            </a:ext>
          </a:extLst>
        </xdr:cNvPr>
        <xdr:cNvSpPr txBox="1"/>
      </xdr:nvSpPr>
      <xdr:spPr>
        <a:xfrm>
          <a:off x="204247" y="1822515"/>
          <a:ext cx="3582186" cy="227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00000"/>
              </a:solidFill>
              <a:latin typeface="Lato black" panose="020F0502020204030203" pitchFamily="34" charset="0"/>
              <a:ea typeface="Lato black" panose="020F0502020204030203" pitchFamily="34" charset="0"/>
              <a:cs typeface="Lato black" panose="020F0502020204030203" pitchFamily="34" charset="0"/>
            </a:rPr>
            <a:t>TOTAL EMPLOYEES</a:t>
          </a:r>
          <a:r>
            <a:rPr lang="en-IN" sz="1400" b="1"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BY GENDER</a:t>
          </a:r>
          <a:endParaRPr lang="en-IN" sz="1400" b="1">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2</xdr:col>
      <xdr:colOff>70701</xdr:colOff>
      <xdr:row>12</xdr:row>
      <xdr:rowOff>7856</xdr:rowOff>
    </xdr:from>
    <xdr:to>
      <xdr:col>4</xdr:col>
      <xdr:colOff>595460</xdr:colOff>
      <xdr:row>15</xdr:row>
      <xdr:rowOff>54990</xdr:rowOff>
    </xdr:to>
    <mc:AlternateContent xmlns:mc="http://schemas.openxmlformats.org/markup-compatibility/2006" xmlns:a14="http://schemas.microsoft.com/office/drawing/2010/main">
      <mc:Choice Requires="a14">
        <xdr:graphicFrame macro="">
          <xdr:nvGraphicFramePr>
            <xdr:cNvPr id="54" name="Gender 3">
              <a:extLst>
                <a:ext uri="{FF2B5EF4-FFF2-40B4-BE49-F238E27FC236}">
                  <a16:creationId xmlns:a16="http://schemas.microsoft.com/office/drawing/2014/main" id="{72EF9C4F-CF4A-4126-AEA7-B04CB1653F32}"/>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374742" y="2270289"/>
              <a:ext cx="1828800" cy="612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487052</xdr:colOff>
      <xdr:row>12</xdr:row>
      <xdr:rowOff>117834</xdr:rowOff>
    </xdr:from>
    <xdr:to>
      <xdr:col>13</xdr:col>
      <xdr:colOff>644166</xdr:colOff>
      <xdr:row>22</xdr:row>
      <xdr:rowOff>91320</xdr:rowOff>
    </xdr:to>
    <xdr:graphicFrame macro="">
      <xdr:nvGraphicFramePr>
        <xdr:cNvPr id="55" name="Chart 54">
          <a:extLst>
            <a:ext uri="{FF2B5EF4-FFF2-40B4-BE49-F238E27FC236}">
              <a16:creationId xmlns:a16="http://schemas.microsoft.com/office/drawing/2014/main" id="{C2959B0F-BA1C-4555-AE9B-A170683B7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7</xdr:col>
      <xdr:colOff>149258</xdr:colOff>
      <xdr:row>9</xdr:row>
      <xdr:rowOff>117835</xdr:rowOff>
    </xdr:from>
    <xdr:to>
      <xdr:col>12</xdr:col>
      <xdr:colOff>408495</xdr:colOff>
      <xdr:row>11</xdr:row>
      <xdr:rowOff>15712</xdr:rowOff>
    </xdr:to>
    <xdr:sp macro="" textlink="">
      <xdr:nvSpPr>
        <xdr:cNvPr id="63" name="TextBox 62">
          <a:extLst>
            <a:ext uri="{FF2B5EF4-FFF2-40B4-BE49-F238E27FC236}">
              <a16:creationId xmlns:a16="http://schemas.microsoft.com/office/drawing/2014/main" id="{839850CF-E11D-DCF5-E294-4AAD347FA46C}"/>
            </a:ext>
          </a:extLst>
        </xdr:cNvPr>
        <xdr:cNvSpPr txBox="1"/>
      </xdr:nvSpPr>
      <xdr:spPr>
        <a:xfrm>
          <a:off x="4713402" y="1814660"/>
          <a:ext cx="3519340" cy="274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00000"/>
              </a:solidFill>
              <a:latin typeface="LATO BLACK" panose="020F0502020204030203" pitchFamily="34" charset="0"/>
              <a:ea typeface="LATO BLACK" panose="020F0502020204030203" pitchFamily="34" charset="0"/>
              <a:cs typeface="LATO BLACK" panose="020F0502020204030203" pitchFamily="34" charset="0"/>
            </a:rPr>
            <a:t>EDUCATION WISE ATTRITION</a:t>
          </a:r>
        </a:p>
      </xdr:txBody>
    </xdr:sp>
    <xdr:clientData/>
  </xdr:twoCellAnchor>
  <xdr:twoCellAnchor>
    <xdr:from>
      <xdr:col>15</xdr:col>
      <xdr:colOff>149258</xdr:colOff>
      <xdr:row>11</xdr:row>
      <xdr:rowOff>125689</xdr:rowOff>
    </xdr:from>
    <xdr:to>
      <xdr:col>21</xdr:col>
      <xdr:colOff>644165</xdr:colOff>
      <xdr:row>21</xdr:row>
      <xdr:rowOff>37273</xdr:rowOff>
    </xdr:to>
    <mc:AlternateContent xmlns:mc="http://schemas.openxmlformats.org/markup-compatibility/2006">
      <mc:Choice xmlns:cx1="http://schemas.microsoft.com/office/drawing/2015/9/8/chartex" Requires="cx1">
        <xdr:graphicFrame macro="">
          <xdr:nvGraphicFramePr>
            <xdr:cNvPr id="66" name="Chart 65">
              <a:extLst>
                <a:ext uri="{FF2B5EF4-FFF2-40B4-BE49-F238E27FC236}">
                  <a16:creationId xmlns:a16="http://schemas.microsoft.com/office/drawing/2014/main" id="{F767F1D6-D48A-4E2B-81DC-7BA5B03729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2"/>
            </a:graphicData>
          </a:graphic>
        </xdr:graphicFrame>
      </mc:Choice>
      <mc:Fallback>
        <xdr:sp macro="" textlink="">
          <xdr:nvSpPr>
            <xdr:cNvPr id="0" name=""/>
            <xdr:cNvSpPr>
              <a:spLocks noTextEdit="1"/>
            </xdr:cNvSpPr>
          </xdr:nvSpPr>
          <xdr:spPr>
            <a:xfrm>
              <a:off x="9979058" y="2221189"/>
              <a:ext cx="4426827" cy="18165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306371</xdr:colOff>
      <xdr:row>9</xdr:row>
      <xdr:rowOff>109977</xdr:rowOff>
    </xdr:from>
    <xdr:to>
      <xdr:col>21</xdr:col>
      <xdr:colOff>78556</xdr:colOff>
      <xdr:row>11</xdr:row>
      <xdr:rowOff>102122</xdr:rowOff>
    </xdr:to>
    <xdr:sp macro="" textlink="">
      <xdr:nvSpPr>
        <xdr:cNvPr id="67" name="TextBox 66">
          <a:extLst>
            <a:ext uri="{FF2B5EF4-FFF2-40B4-BE49-F238E27FC236}">
              <a16:creationId xmlns:a16="http://schemas.microsoft.com/office/drawing/2014/main" id="{3DA397F4-948F-AA4B-84EA-AEE445D366C3}"/>
            </a:ext>
          </a:extLst>
        </xdr:cNvPr>
        <xdr:cNvSpPr txBox="1"/>
      </xdr:nvSpPr>
      <xdr:spPr>
        <a:xfrm>
          <a:off x="10086680" y="1806802"/>
          <a:ext cx="3684309" cy="369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 BY JOB ROLE</a:t>
          </a:r>
        </a:p>
      </xdr:txBody>
    </xdr:sp>
    <xdr:clientData/>
  </xdr:twoCellAnchor>
  <xdr:twoCellAnchor>
    <xdr:from>
      <xdr:col>0</xdr:col>
      <xdr:colOff>416351</xdr:colOff>
      <xdr:row>24</xdr:row>
      <xdr:rowOff>78555</xdr:rowOff>
    </xdr:from>
    <xdr:to>
      <xdr:col>6</xdr:col>
      <xdr:colOff>117835</xdr:colOff>
      <xdr:row>33</xdr:row>
      <xdr:rowOff>109467</xdr:rowOff>
    </xdr:to>
    <xdr:graphicFrame macro="">
      <xdr:nvGraphicFramePr>
        <xdr:cNvPr id="69" name="Chart 68">
          <a:extLst>
            <a:ext uri="{FF2B5EF4-FFF2-40B4-BE49-F238E27FC236}">
              <a16:creationId xmlns:a16="http://schemas.microsoft.com/office/drawing/2014/main" id="{D1ADA2DC-3D8C-4E02-A6BB-42BB639260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0</xdr:col>
      <xdr:colOff>282804</xdr:colOff>
      <xdr:row>22</xdr:row>
      <xdr:rowOff>23567</xdr:rowOff>
    </xdr:from>
    <xdr:to>
      <xdr:col>5</xdr:col>
      <xdr:colOff>47134</xdr:colOff>
      <xdr:row>23</xdr:row>
      <xdr:rowOff>109979</xdr:rowOff>
    </xdr:to>
    <xdr:sp macro="" textlink="">
      <xdr:nvSpPr>
        <xdr:cNvPr id="74" name="TextBox 73">
          <a:extLst>
            <a:ext uri="{FF2B5EF4-FFF2-40B4-BE49-F238E27FC236}">
              <a16:creationId xmlns:a16="http://schemas.microsoft.com/office/drawing/2014/main" id="{1954F836-C915-29B9-09F2-16F24F1CD9AB}"/>
            </a:ext>
          </a:extLst>
        </xdr:cNvPr>
        <xdr:cNvSpPr txBox="1"/>
      </xdr:nvSpPr>
      <xdr:spPr>
        <a:xfrm>
          <a:off x="282804" y="4171361"/>
          <a:ext cx="3024433" cy="274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00000"/>
              </a:solidFill>
              <a:latin typeface="LATO BLACK" panose="020F0502020204030203" pitchFamily="34" charset="0"/>
              <a:ea typeface="LATO BLACK" panose="020F0502020204030203" pitchFamily="34" charset="0"/>
              <a:cs typeface="LATO BLACK" panose="020F0502020204030203" pitchFamily="34" charset="0"/>
            </a:rPr>
            <a:t>DEPARTMENT</a:t>
          </a:r>
          <a:r>
            <a:rPr lang="en-IN" sz="1400" b="1"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WISE ATTRITION </a:t>
          </a:r>
          <a:endParaRPr lang="en-IN" sz="1400" b="1">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7</xdr:col>
      <xdr:colOff>15712</xdr:colOff>
      <xdr:row>24</xdr:row>
      <xdr:rowOff>23567</xdr:rowOff>
    </xdr:from>
    <xdr:to>
      <xdr:col>12</xdr:col>
      <xdr:colOff>274949</xdr:colOff>
      <xdr:row>33</xdr:row>
      <xdr:rowOff>93247</xdr:rowOff>
    </xdr:to>
    <xdr:graphicFrame macro="">
      <xdr:nvGraphicFramePr>
        <xdr:cNvPr id="75" name="Chart 74">
          <a:extLst>
            <a:ext uri="{FF2B5EF4-FFF2-40B4-BE49-F238E27FC236}">
              <a16:creationId xmlns:a16="http://schemas.microsoft.com/office/drawing/2014/main" id="{754228B5-938C-4412-9FA2-49DB3F29C0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7</xdr:col>
      <xdr:colOff>102124</xdr:colOff>
      <xdr:row>22</xdr:row>
      <xdr:rowOff>31422</xdr:rowOff>
    </xdr:from>
    <xdr:to>
      <xdr:col>11</xdr:col>
      <xdr:colOff>298515</xdr:colOff>
      <xdr:row>23</xdr:row>
      <xdr:rowOff>86412</xdr:rowOff>
    </xdr:to>
    <xdr:sp macro="" textlink="">
      <xdr:nvSpPr>
        <xdr:cNvPr id="76" name="TextBox 75">
          <a:extLst>
            <a:ext uri="{FF2B5EF4-FFF2-40B4-BE49-F238E27FC236}">
              <a16:creationId xmlns:a16="http://schemas.microsoft.com/office/drawing/2014/main" id="{0CAC4A1E-4A1F-88ED-59C7-729908D3EFEC}"/>
            </a:ext>
          </a:extLst>
        </xdr:cNvPr>
        <xdr:cNvSpPr txBox="1"/>
      </xdr:nvSpPr>
      <xdr:spPr>
        <a:xfrm>
          <a:off x="4666268" y="4179216"/>
          <a:ext cx="2804474" cy="243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 BY AGE GROUP</a:t>
          </a:r>
        </a:p>
      </xdr:txBody>
    </xdr:sp>
    <xdr:clientData/>
  </xdr:twoCellAnchor>
  <xdr:twoCellAnchor>
    <xdr:from>
      <xdr:col>13</xdr:col>
      <xdr:colOff>15711</xdr:colOff>
      <xdr:row>23</xdr:row>
      <xdr:rowOff>164969</xdr:rowOff>
    </xdr:from>
    <xdr:to>
      <xdr:col>17</xdr:col>
      <xdr:colOff>267092</xdr:colOff>
      <xdr:row>33</xdr:row>
      <xdr:rowOff>86412</xdr:rowOff>
    </xdr:to>
    <mc:AlternateContent xmlns:mc="http://schemas.openxmlformats.org/markup-compatibility/2006">
      <mc:Choice xmlns:cx2="http://schemas.microsoft.com/office/drawing/2015/10/21/chartex" Requires="cx2">
        <xdr:graphicFrame macro="">
          <xdr:nvGraphicFramePr>
            <xdr:cNvPr id="77" name="Chart 76">
              <a:extLst>
                <a:ext uri="{FF2B5EF4-FFF2-40B4-BE49-F238E27FC236}">
                  <a16:creationId xmlns:a16="http://schemas.microsoft.com/office/drawing/2014/main" id="{88460FB9-AFAC-409B-98AB-EA2077D4EE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5"/>
            </a:graphicData>
          </a:graphic>
        </xdr:graphicFrame>
      </mc:Choice>
      <mc:Fallback>
        <xdr:sp macro="" textlink="">
          <xdr:nvSpPr>
            <xdr:cNvPr id="0" name=""/>
            <xdr:cNvSpPr>
              <a:spLocks noTextEdit="1"/>
            </xdr:cNvSpPr>
          </xdr:nvSpPr>
          <xdr:spPr>
            <a:xfrm>
              <a:off x="8534871" y="4546469"/>
              <a:ext cx="2872661" cy="18264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597031</xdr:colOff>
      <xdr:row>22</xdr:row>
      <xdr:rowOff>23567</xdr:rowOff>
    </xdr:from>
    <xdr:to>
      <xdr:col>17</xdr:col>
      <xdr:colOff>322082</xdr:colOff>
      <xdr:row>23</xdr:row>
      <xdr:rowOff>102124</xdr:rowOff>
    </xdr:to>
    <xdr:sp macro="" textlink="">
      <xdr:nvSpPr>
        <xdr:cNvPr id="78" name="TextBox 77">
          <a:extLst>
            <a:ext uri="{FF2B5EF4-FFF2-40B4-BE49-F238E27FC236}">
              <a16:creationId xmlns:a16="http://schemas.microsoft.com/office/drawing/2014/main" id="{D6D0E2B4-827D-B569-D158-BF8B344BFCBC}"/>
            </a:ext>
          </a:extLst>
        </xdr:cNvPr>
        <xdr:cNvSpPr txBox="1"/>
      </xdr:nvSpPr>
      <xdr:spPr>
        <a:xfrm>
          <a:off x="8421278" y="4171361"/>
          <a:ext cx="2985155" cy="267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a:t>
          </a:r>
          <a:r>
            <a:rPr lang="en-IN" sz="1400" b="1"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BY MARITAL STATUS</a:t>
          </a:r>
          <a:endParaRPr lang="en-IN" sz="1400" b="1">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17</xdr:col>
      <xdr:colOff>479198</xdr:colOff>
      <xdr:row>23</xdr:row>
      <xdr:rowOff>172826</xdr:rowOff>
    </xdr:from>
    <xdr:to>
      <xdr:col>20</xdr:col>
      <xdr:colOff>141402</xdr:colOff>
      <xdr:row>33</xdr:row>
      <xdr:rowOff>141402</xdr:rowOff>
    </xdr:to>
    <mc:AlternateContent xmlns:mc="http://schemas.openxmlformats.org/markup-compatibility/2006" xmlns:a14="http://schemas.microsoft.com/office/drawing/2010/main">
      <mc:Choice Requires="a14">
        <xdr:graphicFrame macro="">
          <xdr:nvGraphicFramePr>
            <xdr:cNvPr id="79" name="Education Field 3">
              <a:extLst>
                <a:ext uri="{FF2B5EF4-FFF2-40B4-BE49-F238E27FC236}">
                  <a16:creationId xmlns:a16="http://schemas.microsoft.com/office/drawing/2014/main" id="{B94CD349-B1BA-4A50-93CD-032489D84352}"/>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1563549" y="4509156"/>
              <a:ext cx="1618265" cy="18539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223103</xdr:colOff>
      <xdr:row>23</xdr:row>
      <xdr:rowOff>171452</xdr:rowOff>
    </xdr:from>
    <xdr:to>
      <xdr:col>22</xdr:col>
      <xdr:colOff>31422</xdr:colOff>
      <xdr:row>30</xdr:row>
      <xdr:rowOff>31424</xdr:rowOff>
    </xdr:to>
    <mc:AlternateContent xmlns:mc="http://schemas.openxmlformats.org/markup-compatibility/2006" xmlns:a14="http://schemas.microsoft.com/office/drawing/2010/main">
      <mc:Choice Requires="a14">
        <xdr:graphicFrame macro="">
          <xdr:nvGraphicFramePr>
            <xdr:cNvPr id="80" name="Department 1">
              <a:extLst>
                <a:ext uri="{FF2B5EF4-FFF2-40B4-BE49-F238E27FC236}">
                  <a16:creationId xmlns:a16="http://schemas.microsoft.com/office/drawing/2014/main" id="{AD4AE556-3E26-405B-9683-34ADD9F2BF6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3263515" y="4507782"/>
              <a:ext cx="1112361" cy="1179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oneCellAnchor>
    <xdr:from>
      <xdr:col>2</xdr:col>
      <xdr:colOff>100965</xdr:colOff>
      <xdr:row>1</xdr:row>
      <xdr:rowOff>66675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411605" y="2571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0</xdr:col>
      <xdr:colOff>1</xdr:colOff>
      <xdr:row>0</xdr:row>
      <xdr:rowOff>0</xdr:rowOff>
    </xdr:from>
    <xdr:ext cx="14516100" cy="7399020"/>
    <xdr:grpSp>
      <xdr:nvGrpSpPr>
        <xdr:cNvPr id="2" name="Shape 2">
          <a:extLst>
            <a:ext uri="{FF2B5EF4-FFF2-40B4-BE49-F238E27FC236}">
              <a16:creationId xmlns:a16="http://schemas.microsoft.com/office/drawing/2014/main" id="{00000000-0008-0000-0500-000002000000}"/>
            </a:ext>
          </a:extLst>
        </xdr:cNvPr>
        <xdr:cNvGrpSpPr/>
      </xdr:nvGrpSpPr>
      <xdr:grpSpPr>
        <a:xfrm>
          <a:off x="1" y="0"/>
          <a:ext cx="14516100" cy="7399020"/>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rutti Lingdale" refreshedDate="46280.673327430559" createdVersion="8" refreshedVersion="8" minRefreshableVersion="3" recordCount="1470" xr:uid="{9657EC1D-44AC-4DF4-9ABC-DDA946AB47B2}">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687702934"/>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3D6992-DC70-415C-ABBE-49209D3BA105}"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A6EB9B-740D-4799-ABC7-E849AE30FA13}"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4">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4748E2-2E77-4461-B9BC-7A834E2288F5}"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84B969-0549-420E-AAE3-C332851CBDF9}"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8E8C09-7143-4805-9545-663DFBD37864}" name="ATTRITION BY JOB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3B0584-C735-429F-A5EF-2C393A3BF6D6}" name="DEPARTMEN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AFA014-EBDA-46A3-B695-6D013734BD8B}"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985E16-8982-4861-A5D7-DBF739F6F46E}" name="MARITI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A9389CD2-11B8-4BF8-8A0F-754E8722C57B}" sourceName="Gender">
  <pivotTables>
    <pivotTable tabId="9" name="GENDER"/>
    <pivotTable tabId="13" name="ATTRITION BY AGE GROUP"/>
    <pivotTable tabId="11" name="ATTRITION BY JOB "/>
    <pivotTable tabId="12" name="DEPARTMENT WISE ATTRITION"/>
    <pivotTable tabId="10" name="EDUCATION BY ATTRITION"/>
    <pivotTable tabId="7" name="KPI"/>
    <pivotTable tabId="14" name="MARITIAL STATUS"/>
    <pivotTable tabId="8" name="RATING"/>
  </pivotTables>
  <data>
    <tabular pivotCacheId="168770293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529A7F4-B8BF-4964-88E3-A64DB7E6A524}" sourceName="Department">
  <pivotTables>
    <pivotTable tabId="13" name="ATTRITION BY AGE GROUP"/>
    <pivotTable tabId="11" name="ATTRITION BY JOB "/>
    <pivotTable tabId="12" name="DEPARTMENT WISE ATTRITION"/>
    <pivotTable tabId="10" name="EDUCATION BY ATTRITION"/>
    <pivotTable tabId="9" name="GENDER"/>
    <pivotTable tabId="7" name="KPI"/>
    <pivotTable tabId="14" name="MARITIAL STATUS"/>
    <pivotTable tabId="8" name="RATING"/>
  </pivotTables>
  <data>
    <tabular pivotCacheId="168770293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2E51F9D0-4E33-41D4-A089-CF9A4CD2D6DA}" sourceName="Education Field">
  <pivotTables>
    <pivotTable tabId="13" name="ATTRITION BY AGE GROUP"/>
    <pivotTable tabId="11" name="ATTRITION BY JOB "/>
    <pivotTable tabId="12" name="DEPARTMENT WISE ATTRITION"/>
    <pivotTable tabId="10" name="EDUCATION BY ATTRITION"/>
    <pivotTable tabId="9" name="GENDER"/>
    <pivotTable tabId="7" name="KPI"/>
    <pivotTable tabId="14" name="MARITIAL STATUS"/>
    <pivotTable tabId="8" name="RATING"/>
  </pivotTables>
  <data>
    <tabular pivotCacheId="1687702934">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70CC77C-2952-4894-890A-AD35B558E818}" cache="Slicer_Gender2"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1818E48-C385-4817-9DDD-917E66438FAB}" cache="Slicer_Gender2" caption="Gender" rowHeight="260350"/>
  <slicer name="Education Field" xr10:uid="{6D3F38EE-AF3E-4537-9976-5413BBBE4D07}"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5DAEB488-40BD-4939-B48A-C1AA32BD699D}" cache="Slicer_Gender2" caption="Gender" rowHeight="260350"/>
  <slicer name="Education Field 1" xr10:uid="{B6438F72-0653-4990-A04C-30ED7A1C8EDF}"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3D6C856-1548-4A3A-AFC8-76A1DF5EC45F}" cache="Slicer_Department" caption="Department" rowHeight="260350"/>
  <slicer name="Education Field 2" xr10:uid="{A4973E0A-E94E-402E-8529-08C5F98E78BB}" cache="Slicer_Education_Field2"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834CAB16-7E6A-4237-8E28-A93589BC27D0}" cache="Slicer_Gender2" caption="Gender" columnCount="2" style="Slicer " rowHeight="260350"/>
  <slicer name="Department 1" xr10:uid="{21BFDA19-CC89-45EB-8A20-AFC6DBB2199D}" cache="Slicer_Department" caption="Department" style="Slicer " rowHeight="260350"/>
  <slicer name="Education Field 3" xr10:uid="{83EDC8B1-B915-426C-8457-2113CAA2CAD1}" cache="Slicer_Education_Field2" caption="Education Field" style="Slicer "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TableStyleLight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1.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76398-7B55-40E7-9330-A2F42AE211C8}">
  <dimension ref="A3:F7"/>
  <sheetViews>
    <sheetView workbookViewId="0">
      <selection activeCell="C7" sqref="C7"/>
    </sheetView>
  </sheetViews>
  <sheetFormatPr defaultRowHeight="15.6" x14ac:dyDescent="0.3"/>
  <cols>
    <col min="1" max="1" width="24.5" bestFit="1" customWidth="1"/>
    <col min="2" max="2" width="22.796875" bestFit="1" customWidth="1"/>
    <col min="3" max="3" width="13.5" bestFit="1" customWidth="1"/>
  </cols>
  <sheetData>
    <row r="3" spans="1:6" x14ac:dyDescent="0.3">
      <c r="A3" s="2" t="s">
        <v>1554</v>
      </c>
      <c r="B3" s="4" t="s">
        <v>1555</v>
      </c>
      <c r="C3" s="3" t="s">
        <v>1556</v>
      </c>
    </row>
    <row r="4" spans="1:6" x14ac:dyDescent="0.3">
      <c r="A4" s="22">
        <v>1470</v>
      </c>
      <c r="B4" s="23">
        <v>237</v>
      </c>
      <c r="C4" s="24">
        <v>36.923809523809524</v>
      </c>
    </row>
    <row r="6" spans="1:6" x14ac:dyDescent="0.3">
      <c r="A6" t="s">
        <v>1557</v>
      </c>
      <c r="B6" t="s">
        <v>1558</v>
      </c>
      <c r="C6" t="s">
        <v>1559</v>
      </c>
      <c r="D6" t="s">
        <v>1561</v>
      </c>
      <c r="F6" t="s">
        <v>1560</v>
      </c>
    </row>
    <row r="7" spans="1:6" x14ac:dyDescent="0.3">
      <c r="A7">
        <f>GETPIVOTDATA("Count of Employee Number",$A$3)</f>
        <v>1470</v>
      </c>
      <c r="B7">
        <f>GETPIVOTDATA("Sum of CF_attrition count",$A$3)</f>
        <v>237</v>
      </c>
      <c r="C7" s="6">
        <f>GETPIVOTDATA("Average of Age",$A$3)</f>
        <v>36.923809523809524</v>
      </c>
      <c r="D7">
        <f>A7-B7</f>
        <v>1233</v>
      </c>
      <c r="F7" s="5">
        <f>B7/A7</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88E49-AF92-4768-9064-D2419B741A42}">
  <dimension ref="A3:C8"/>
  <sheetViews>
    <sheetView workbookViewId="0">
      <selection activeCell="I12" sqref="I12"/>
    </sheetView>
  </sheetViews>
  <sheetFormatPr defaultRowHeight="15.6" x14ac:dyDescent="0.3"/>
  <cols>
    <col min="1" max="1" width="23.59765625" bestFit="1" customWidth="1"/>
  </cols>
  <sheetData>
    <row r="3" spans="1:3" x14ac:dyDescent="0.3">
      <c r="A3" s="7" t="s">
        <v>1562</v>
      </c>
    </row>
    <row r="4" spans="1:3" x14ac:dyDescent="0.3">
      <c r="A4" s="8">
        <v>2.6265306122448981</v>
      </c>
    </row>
    <row r="7" spans="1:3" x14ac:dyDescent="0.3">
      <c r="A7" t="s">
        <v>1563</v>
      </c>
      <c r="B7" s="9">
        <f>GETPIVOTDATA("Job Satisfaction",$A$3)</f>
        <v>2.6265306122448981</v>
      </c>
      <c r="C7">
        <f>B7/4</f>
        <v>0.65663265306122454</v>
      </c>
    </row>
    <row r="8" spans="1:3" x14ac:dyDescent="0.3">
      <c r="A8" t="s">
        <v>1564</v>
      </c>
      <c r="B8" s="9">
        <f>4-B7</f>
        <v>1.3734693877551019</v>
      </c>
      <c r="C8">
        <f>B8/4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0CD06-BF10-4AEA-9118-C2F6B8A912D3}">
  <dimension ref="A3:C10"/>
  <sheetViews>
    <sheetView workbookViewId="0">
      <selection activeCell="N36" sqref="N36"/>
    </sheetView>
  </sheetViews>
  <sheetFormatPr defaultRowHeight="15.6" x14ac:dyDescent="0.3"/>
  <cols>
    <col min="1" max="1" width="12.19921875" bestFit="1" customWidth="1"/>
    <col min="2" max="2" width="22.796875" bestFit="1" customWidth="1"/>
  </cols>
  <sheetData>
    <row r="3" spans="1:3" x14ac:dyDescent="0.3">
      <c r="A3" s="10" t="s">
        <v>1565</v>
      </c>
      <c r="B3" s="7" t="s">
        <v>1567</v>
      </c>
    </row>
    <row r="4" spans="1:3" x14ac:dyDescent="0.3">
      <c r="A4" s="11" t="s">
        <v>51</v>
      </c>
      <c r="B4" s="19">
        <v>588</v>
      </c>
    </row>
    <row r="5" spans="1:3" x14ac:dyDescent="0.3">
      <c r="A5" s="12" t="s">
        <v>62</v>
      </c>
      <c r="B5" s="20">
        <v>882</v>
      </c>
    </row>
    <row r="6" spans="1:3" x14ac:dyDescent="0.3">
      <c r="A6" s="13" t="s">
        <v>1566</v>
      </c>
      <c r="B6" s="21">
        <v>1470</v>
      </c>
    </row>
    <row r="9" spans="1:3" x14ac:dyDescent="0.3">
      <c r="A9" s="14" t="s">
        <v>1568</v>
      </c>
      <c r="B9">
        <f>IFERROR(GETPIVOTDATA("Employee Count",$A$3,"Gender","Female"),0)</f>
        <v>588</v>
      </c>
      <c r="C9" s="15">
        <f>IFERROR(B9/($B$9+$B$10),0)</f>
        <v>0.4</v>
      </c>
    </row>
    <row r="10" spans="1:3" x14ac:dyDescent="0.3">
      <c r="A10" s="14" t="s">
        <v>1569</v>
      </c>
      <c r="B10">
        <f>IFERROR(GETPIVOTDATA("Employee Count",$A$3,"Gender","Male"),0)</f>
        <v>882</v>
      </c>
      <c r="C10" s="15">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2FA34-6108-4A9D-9555-0F438E1ED6B5}">
  <dimension ref="A3:B9"/>
  <sheetViews>
    <sheetView workbookViewId="0">
      <selection activeCell="B5" sqref="B5"/>
    </sheetView>
  </sheetViews>
  <sheetFormatPr defaultRowHeight="15.6" x14ac:dyDescent="0.3"/>
  <cols>
    <col min="1" max="1" width="16" bestFit="1" customWidth="1"/>
    <col min="2" max="2" width="22.796875" bestFit="1" customWidth="1"/>
  </cols>
  <sheetData>
    <row r="3" spans="1:2" x14ac:dyDescent="0.3">
      <c r="A3" s="10" t="s">
        <v>1565</v>
      </c>
      <c r="B3" s="7" t="s">
        <v>1555</v>
      </c>
    </row>
    <row r="4" spans="1:2" x14ac:dyDescent="0.3">
      <c r="A4" s="11" t="s">
        <v>134</v>
      </c>
      <c r="B4" s="19">
        <v>5</v>
      </c>
    </row>
    <row r="5" spans="1:2" x14ac:dyDescent="0.3">
      <c r="A5" s="12" t="s">
        <v>65</v>
      </c>
      <c r="B5" s="20">
        <v>31</v>
      </c>
    </row>
    <row r="6" spans="1:2" x14ac:dyDescent="0.3">
      <c r="A6" s="12" t="s">
        <v>55</v>
      </c>
      <c r="B6" s="20">
        <v>44</v>
      </c>
    </row>
    <row r="7" spans="1:2" x14ac:dyDescent="0.3">
      <c r="A7" s="12" t="s">
        <v>71</v>
      </c>
      <c r="B7" s="20">
        <v>58</v>
      </c>
    </row>
    <row r="8" spans="1:2" x14ac:dyDescent="0.3">
      <c r="A8" s="12" t="s">
        <v>77</v>
      </c>
      <c r="B8" s="20">
        <v>99</v>
      </c>
    </row>
    <row r="9" spans="1:2" x14ac:dyDescent="0.3">
      <c r="A9" s="13" t="s">
        <v>1566</v>
      </c>
      <c r="B9" s="21">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336DB-EE7E-4902-80FA-5EBE967416A1}">
  <dimension ref="A3:F13"/>
  <sheetViews>
    <sheetView workbookViewId="0">
      <selection activeCell="E10" sqref="E10"/>
    </sheetView>
  </sheetViews>
  <sheetFormatPr defaultRowHeight="15.6" x14ac:dyDescent="0.3"/>
  <cols>
    <col min="1" max="1" width="23.296875" bestFit="1" customWidth="1"/>
    <col min="2" max="2" width="22.796875" bestFit="1" customWidth="1"/>
    <col min="5" max="5" width="23.296875" bestFit="1" customWidth="1"/>
    <col min="6" max="6" width="16.3984375" bestFit="1" customWidth="1"/>
  </cols>
  <sheetData>
    <row r="3" spans="1:6" x14ac:dyDescent="0.3">
      <c r="A3" s="10" t="s">
        <v>1565</v>
      </c>
      <c r="B3" s="7" t="s">
        <v>1555</v>
      </c>
      <c r="E3" s="1" t="s">
        <v>1570</v>
      </c>
      <c r="F3" s="1" t="s">
        <v>1571</v>
      </c>
    </row>
    <row r="4" spans="1:6" x14ac:dyDescent="0.3">
      <c r="A4" s="11" t="s">
        <v>83</v>
      </c>
      <c r="B4" s="19">
        <v>9</v>
      </c>
      <c r="E4" t="str">
        <f>A4</f>
        <v>Healthcare Representative</v>
      </c>
      <c r="F4">
        <f>GETPIVOTDATA("CF_attrition count",$A$3,"Job Role",A4)</f>
        <v>9</v>
      </c>
    </row>
    <row r="5" spans="1:6" x14ac:dyDescent="0.3">
      <c r="A5" s="12" t="s">
        <v>163</v>
      </c>
      <c r="B5" s="20">
        <v>12</v>
      </c>
      <c r="E5" t="str">
        <f t="shared" ref="E5:E12" si="0">A5</f>
        <v>Human Resources</v>
      </c>
      <c r="F5">
        <f t="shared" ref="F5:F12" si="1">GETPIVOTDATA("CF_attrition count",$A$3,"Job Role",A5)</f>
        <v>12</v>
      </c>
    </row>
    <row r="6" spans="1:6" x14ac:dyDescent="0.3">
      <c r="A6" s="12" t="s">
        <v>68</v>
      </c>
      <c r="B6" s="20">
        <v>62</v>
      </c>
      <c r="E6" t="str">
        <f t="shared" si="0"/>
        <v>Laboratory Technician</v>
      </c>
      <c r="F6">
        <f t="shared" si="1"/>
        <v>62</v>
      </c>
    </row>
    <row r="7" spans="1:6" x14ac:dyDescent="0.3">
      <c r="A7" s="12" t="s">
        <v>95</v>
      </c>
      <c r="B7" s="20">
        <v>5</v>
      </c>
      <c r="E7" t="str">
        <f t="shared" si="0"/>
        <v>Manager</v>
      </c>
      <c r="F7">
        <f t="shared" si="1"/>
        <v>5</v>
      </c>
    </row>
    <row r="8" spans="1:6" x14ac:dyDescent="0.3">
      <c r="A8" s="12" t="s">
        <v>81</v>
      </c>
      <c r="B8" s="20">
        <v>10</v>
      </c>
      <c r="E8" t="str">
        <f t="shared" si="0"/>
        <v>Manufacturing Director</v>
      </c>
      <c r="F8">
        <f t="shared" si="1"/>
        <v>10</v>
      </c>
    </row>
    <row r="9" spans="1:6" x14ac:dyDescent="0.3">
      <c r="A9" s="12" t="s">
        <v>101</v>
      </c>
      <c r="B9" s="20">
        <v>2</v>
      </c>
      <c r="E9" t="str">
        <f t="shared" si="0"/>
        <v>Research Director</v>
      </c>
      <c r="F9">
        <f t="shared" si="1"/>
        <v>2</v>
      </c>
    </row>
    <row r="10" spans="1:6" x14ac:dyDescent="0.3">
      <c r="A10" s="12" t="s">
        <v>63</v>
      </c>
      <c r="B10" s="20">
        <v>47</v>
      </c>
      <c r="E10" t="str">
        <f t="shared" si="0"/>
        <v>Research Scientist</v>
      </c>
      <c r="F10">
        <f t="shared" si="1"/>
        <v>47</v>
      </c>
    </row>
    <row r="11" spans="1:6" x14ac:dyDescent="0.3">
      <c r="A11" s="12" t="s">
        <v>52</v>
      </c>
      <c r="B11" s="20">
        <v>57</v>
      </c>
      <c r="E11" t="str">
        <f t="shared" si="0"/>
        <v>Sales Executive</v>
      </c>
      <c r="F11">
        <f t="shared" si="1"/>
        <v>57</v>
      </c>
    </row>
    <row r="12" spans="1:6" x14ac:dyDescent="0.3">
      <c r="A12" s="12" t="s">
        <v>99</v>
      </c>
      <c r="B12" s="20">
        <v>33</v>
      </c>
      <c r="E12" t="str">
        <f t="shared" si="0"/>
        <v>Sales Representative</v>
      </c>
      <c r="F12">
        <f t="shared" si="1"/>
        <v>33</v>
      </c>
    </row>
    <row r="13" spans="1:6" x14ac:dyDescent="0.3">
      <c r="A13" s="13" t="s">
        <v>1566</v>
      </c>
      <c r="B13" s="21">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1A802-72A4-47AE-A59B-DD6D98206374}">
  <dimension ref="A3:B7"/>
  <sheetViews>
    <sheetView workbookViewId="0">
      <selection activeCell="B5" sqref="B5"/>
    </sheetView>
  </sheetViews>
  <sheetFormatPr defaultRowHeight="15.6" x14ac:dyDescent="0.3"/>
  <cols>
    <col min="1" max="1" width="12.19921875" bestFit="1" customWidth="1"/>
    <col min="2" max="2" width="22.796875" bestFit="1" customWidth="1"/>
  </cols>
  <sheetData>
    <row r="3" spans="1:2" x14ac:dyDescent="0.3">
      <c r="A3" s="10" t="s">
        <v>1565</v>
      </c>
      <c r="B3" s="7" t="s">
        <v>1555</v>
      </c>
    </row>
    <row r="4" spans="1:2" x14ac:dyDescent="0.3">
      <c r="A4" s="11" t="s">
        <v>161</v>
      </c>
      <c r="B4" s="16">
        <v>5.0632911392405063E-2</v>
      </c>
    </row>
    <row r="5" spans="1:2" x14ac:dyDescent="0.3">
      <c r="A5" s="12" t="s">
        <v>60</v>
      </c>
      <c r="B5" s="17">
        <v>0.56118143459915615</v>
      </c>
    </row>
    <row r="6" spans="1:2" x14ac:dyDescent="0.3">
      <c r="A6" s="12" t="s">
        <v>48</v>
      </c>
      <c r="B6" s="17">
        <v>0.3881856540084388</v>
      </c>
    </row>
    <row r="7" spans="1:2" x14ac:dyDescent="0.3">
      <c r="A7" s="13" t="s">
        <v>1566</v>
      </c>
      <c r="B7" s="18">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BD6FA-4560-4C86-8223-DBE786AEF0C4}">
  <dimension ref="A3:B9"/>
  <sheetViews>
    <sheetView workbookViewId="0">
      <selection activeCell="B6" sqref="B6"/>
    </sheetView>
  </sheetViews>
  <sheetFormatPr defaultRowHeight="15.6" x14ac:dyDescent="0.3"/>
  <cols>
    <col min="1" max="1" width="12.19921875" bestFit="1" customWidth="1"/>
    <col min="2" max="2" width="22.796875" bestFit="1" customWidth="1"/>
  </cols>
  <sheetData>
    <row r="3" spans="1:2" x14ac:dyDescent="0.3">
      <c r="A3" s="10" t="s">
        <v>1565</v>
      </c>
      <c r="B3" s="7" t="s">
        <v>1555</v>
      </c>
    </row>
    <row r="4" spans="1:2" x14ac:dyDescent="0.3">
      <c r="A4" s="11" t="s">
        <v>69</v>
      </c>
      <c r="B4" s="19">
        <v>112</v>
      </c>
    </row>
    <row r="5" spans="1:2" x14ac:dyDescent="0.3">
      <c r="A5" s="12" t="s">
        <v>46</v>
      </c>
      <c r="B5" s="20">
        <v>51</v>
      </c>
    </row>
    <row r="6" spans="1:2" x14ac:dyDescent="0.3">
      <c r="A6" s="12" t="s">
        <v>92</v>
      </c>
      <c r="B6" s="20">
        <v>38</v>
      </c>
    </row>
    <row r="7" spans="1:2" x14ac:dyDescent="0.3">
      <c r="A7" s="12" t="s">
        <v>58</v>
      </c>
      <c r="B7" s="20">
        <v>25</v>
      </c>
    </row>
    <row r="8" spans="1:2" x14ac:dyDescent="0.3">
      <c r="A8" s="12" t="s">
        <v>75</v>
      </c>
      <c r="B8" s="20">
        <v>11</v>
      </c>
    </row>
    <row r="9" spans="1:2" x14ac:dyDescent="0.3">
      <c r="A9" s="13" t="s">
        <v>1566</v>
      </c>
      <c r="B9" s="21">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BE660-4DF6-49C8-8846-C7ACC8BA8531}">
  <dimension ref="A3:E7"/>
  <sheetViews>
    <sheetView workbookViewId="0">
      <selection activeCell="B5" sqref="B5"/>
    </sheetView>
  </sheetViews>
  <sheetFormatPr defaultRowHeight="15.6" x14ac:dyDescent="0.3"/>
  <cols>
    <col min="1" max="1" width="12.19921875" bestFit="1" customWidth="1"/>
    <col min="2" max="2" width="16" bestFit="1" customWidth="1"/>
    <col min="4" max="4" width="15.296875" bestFit="1" customWidth="1"/>
  </cols>
  <sheetData>
    <row r="3" spans="1:5" x14ac:dyDescent="0.3">
      <c r="A3" s="10" t="s">
        <v>1565</v>
      </c>
      <c r="B3" s="7" t="s">
        <v>1572</v>
      </c>
      <c r="D3" t="s">
        <v>1573</v>
      </c>
      <c r="E3" t="s">
        <v>1574</v>
      </c>
    </row>
    <row r="4" spans="1:5" x14ac:dyDescent="0.3">
      <c r="A4" s="11" t="s">
        <v>79</v>
      </c>
      <c r="B4" s="19">
        <v>327</v>
      </c>
      <c r="D4" t="str">
        <f>A4</f>
        <v>Divorced</v>
      </c>
      <c r="E4">
        <f>GETPIVOTDATA("Attrition",$A$3,"Marital Status",A4)</f>
        <v>327</v>
      </c>
    </row>
    <row r="5" spans="1:5" x14ac:dyDescent="0.3">
      <c r="A5" s="12" t="s">
        <v>53</v>
      </c>
      <c r="B5" s="20">
        <v>470</v>
      </c>
      <c r="D5" t="str">
        <f>A5</f>
        <v>Single</v>
      </c>
      <c r="E5">
        <f>GETPIVOTDATA("Attrition",$A$3,"Marital Status",A5)</f>
        <v>470</v>
      </c>
    </row>
    <row r="6" spans="1:5" x14ac:dyDescent="0.3">
      <c r="A6" s="12" t="s">
        <v>64</v>
      </c>
      <c r="B6" s="20">
        <v>673</v>
      </c>
      <c r="D6" t="str">
        <f>A6</f>
        <v>Married</v>
      </c>
      <c r="E6">
        <f>GETPIVOTDATA("Attrition",$A$3,"Marital Status",A6)</f>
        <v>673</v>
      </c>
    </row>
    <row r="7" spans="1:5" x14ac:dyDescent="0.3">
      <c r="A7" s="13" t="s">
        <v>1566</v>
      </c>
      <c r="B7" s="21">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B8" sqref="B8"/>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topLeftCell="A4" workbookViewId="0">
      <selection activeCell="G20" sqref="G20"/>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topLeftCell="A8" zoomScale="128"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tabSelected="1" topLeftCell="A10" zoomScale="97" zoomScaleNormal="97" workbookViewId="0">
      <selection activeCell="N36" sqref="N36"/>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topLeftCell="A2"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kpi</vt:lpstr>
      <vt:lpstr>RATING</vt:lpstr>
      <vt:lpstr>GENDER</vt:lpstr>
      <vt:lpstr>EDUCATION BY ATTRITION</vt:lpstr>
      <vt:lpstr>ATTRITION BY JOB </vt:lpstr>
      <vt:lpstr>DEPARTMENT WISE ATTRITION</vt:lpstr>
      <vt:lpstr>ATTRITION BY AGE GROUP</vt:lpstr>
      <vt:lpstr>MARITAL STATUS</vt:lpstr>
      <vt:lpstr>Data</vt:lpstr>
      <vt:lpstr>Images</vt:lpstr>
      <vt:lpstr>Background 1</vt:lpstr>
      <vt:lpstr>Background 2</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Vrutti Lingdale</cp:lastModifiedBy>
  <cp:lastPrinted>2026-10-28T09:13:20Z</cp:lastPrinted>
  <dcterms:created xsi:type="dcterms:W3CDTF">2022-12-29T16:02:46Z</dcterms:created>
  <dcterms:modified xsi:type="dcterms:W3CDTF">2026-10-28T09:13:55Z</dcterms:modified>
</cp:coreProperties>
</file>